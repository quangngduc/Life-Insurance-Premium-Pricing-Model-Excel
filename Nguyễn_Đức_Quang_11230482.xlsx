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An important file\Học\Shortterm loss model\quiz 2\"/>
    </mc:Choice>
  </mc:AlternateContent>
  <xr:revisionPtr revIDLastSave="0" documentId="13_ncr:1_{88167708-F380-420F-8ED0-48E90DDE991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lat benefit" sheetId="11" r:id="rId1"/>
    <sheet name="Task 3 - Summary" sheetId="15" r:id="rId2"/>
    <sheet name="Task 3 - Flat" sheetId="12" r:id="rId3"/>
    <sheet name="Task 3 - %" sheetId="14" r:id="rId4"/>
    <sheet name="Mortality Table" sheetId="10" r:id="rId5"/>
  </sheets>
  <definedNames>
    <definedName name="_xlnm.Print_Area" localSheetId="4">'Mortality Table'!$A$1:$K$124</definedName>
    <definedName name="solver_adj" localSheetId="3" hidden="1">'Task 3 - %'!$H$27</definedName>
    <definedName name="solver_adj" localSheetId="2" hidden="1">'Task 3 - Flat'!$H$10</definedName>
    <definedName name="solver_cvg" localSheetId="3" hidden="1">0.0001</definedName>
    <definedName name="solver_cvg" localSheetId="2" hidden="1">0.0001</definedName>
    <definedName name="solver_drv" localSheetId="3" hidden="1">1</definedName>
    <definedName name="solver_drv" localSheetId="2" hidden="1">1</definedName>
    <definedName name="solver_eng" localSheetId="3" hidden="1">1</definedName>
    <definedName name="solver_eng" localSheetId="2" hidden="1">1</definedName>
    <definedName name="solver_est" localSheetId="3" hidden="1">1</definedName>
    <definedName name="solver_est" localSheetId="2" hidden="1">1</definedName>
    <definedName name="solver_itr" localSheetId="3" hidden="1">2147483647</definedName>
    <definedName name="solver_itr" localSheetId="2" hidden="1">2147483647</definedName>
    <definedName name="solver_mip" localSheetId="3" hidden="1">2147483647</definedName>
    <definedName name="solver_mip" localSheetId="2" hidden="1">2147483647</definedName>
    <definedName name="solver_mni" localSheetId="3" hidden="1">30</definedName>
    <definedName name="solver_mni" localSheetId="2" hidden="1">30</definedName>
    <definedName name="solver_mrt" localSheetId="3" hidden="1">0.075</definedName>
    <definedName name="solver_mrt" localSheetId="2" hidden="1">0.075</definedName>
    <definedName name="solver_msl" localSheetId="3" hidden="1">2</definedName>
    <definedName name="solver_msl" localSheetId="2" hidden="1">2</definedName>
    <definedName name="solver_neg" localSheetId="3" hidden="1">1</definedName>
    <definedName name="solver_neg" localSheetId="2" hidden="1">1</definedName>
    <definedName name="solver_nod" localSheetId="3" hidden="1">2147483647</definedName>
    <definedName name="solver_nod" localSheetId="2" hidden="1">2147483647</definedName>
    <definedName name="solver_num" localSheetId="3" hidden="1">0</definedName>
    <definedName name="solver_num" localSheetId="2" hidden="1">0</definedName>
    <definedName name="solver_nwt" localSheetId="3" hidden="1">1</definedName>
    <definedName name="solver_nwt" localSheetId="2" hidden="1">1</definedName>
    <definedName name="solver_opt" localSheetId="3" hidden="1">'Task 3 - %'!$G$20</definedName>
    <definedName name="solver_opt" localSheetId="2" hidden="1">'Task 3 - Flat'!$G$20</definedName>
    <definedName name="solver_pre" localSheetId="3" hidden="1">0.000001</definedName>
    <definedName name="solver_pre" localSheetId="2" hidden="1">0.000001</definedName>
    <definedName name="solver_rbv" localSheetId="3" hidden="1">1</definedName>
    <definedName name="solver_rbv" localSheetId="2" hidden="1">1</definedName>
    <definedName name="solver_rlx" localSheetId="3" hidden="1">2</definedName>
    <definedName name="solver_rlx" localSheetId="2" hidden="1">2</definedName>
    <definedName name="solver_rsd" localSheetId="3" hidden="1">0</definedName>
    <definedName name="solver_rsd" localSheetId="2" hidden="1">0</definedName>
    <definedName name="solver_scl" localSheetId="3" hidden="1">1</definedName>
    <definedName name="solver_scl" localSheetId="2" hidden="1">1</definedName>
    <definedName name="solver_sho" localSheetId="3" hidden="1">2</definedName>
    <definedName name="solver_sho" localSheetId="2" hidden="1">2</definedName>
    <definedName name="solver_ssz" localSheetId="3" hidden="1">100</definedName>
    <definedName name="solver_ssz" localSheetId="2" hidden="1">100</definedName>
    <definedName name="solver_tim" localSheetId="3" hidden="1">2147483647</definedName>
    <definedName name="solver_tim" localSheetId="2" hidden="1">2147483647</definedName>
    <definedName name="solver_tol" localSheetId="3" hidden="1">0.01</definedName>
    <definedName name="solver_tol" localSheetId="2" hidden="1">0.01</definedName>
    <definedName name="solver_typ" localSheetId="3" hidden="1">3</definedName>
    <definedName name="solver_typ" localSheetId="2" hidden="1">3</definedName>
    <definedName name="solver_val" localSheetId="3" hidden="1">1000</definedName>
    <definedName name="solver_val" localSheetId="2" hidden="1">1000</definedName>
    <definedName name="solver_ver" localSheetId="3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5" l="1"/>
  <c r="G5" i="15"/>
  <c r="G4" i="15"/>
  <c r="G2" i="15"/>
  <c r="H17" i="14"/>
  <c r="H13" i="14"/>
  <c r="H11" i="14"/>
  <c r="H12" i="14" s="1"/>
  <c r="H16" i="14" s="1"/>
  <c r="I7" i="14"/>
  <c r="J7" i="14" s="1"/>
  <c r="K7" i="14" s="1"/>
  <c r="K11" i="14" s="1"/>
  <c r="K12" i="14" s="1"/>
  <c r="K16" i="14" s="1"/>
  <c r="I4" i="14"/>
  <c r="J4" i="14" s="1"/>
  <c r="K4" i="14" s="1"/>
  <c r="L4" i="14" s="1"/>
  <c r="M4" i="14" s="1"/>
  <c r="N4" i="14" s="1"/>
  <c r="O4" i="14" s="1"/>
  <c r="P4" i="14" s="1"/>
  <c r="Q4" i="14" s="1"/>
  <c r="R4" i="14" s="1"/>
  <c r="S4" i="14" s="1"/>
  <c r="T4" i="14" s="1"/>
  <c r="U4" i="14" s="1"/>
  <c r="V4" i="14" s="1"/>
  <c r="W4" i="14" s="1"/>
  <c r="X4" i="14" s="1"/>
  <c r="Y4" i="14" s="1"/>
  <c r="Z4" i="14" s="1"/>
  <c r="AA4" i="14" s="1"/>
  <c r="AB4" i="14" s="1"/>
  <c r="AC4" i="14" s="1"/>
  <c r="AD4" i="14" s="1"/>
  <c r="AE4" i="14" s="1"/>
  <c r="AF4" i="14" s="1"/>
  <c r="AG4" i="14" s="1"/>
  <c r="AH4" i="14" s="1"/>
  <c r="AI4" i="14" s="1"/>
  <c r="AJ4" i="14" s="1"/>
  <c r="AK4" i="14" s="1"/>
  <c r="AL4" i="14" s="1"/>
  <c r="AM4" i="14" s="1"/>
  <c r="AN4" i="14" s="1"/>
  <c r="AO4" i="14" s="1"/>
  <c r="AP4" i="14" s="1"/>
  <c r="AQ4" i="14" s="1"/>
  <c r="AR4" i="14" s="1"/>
  <c r="AS4" i="14" s="1"/>
  <c r="AT4" i="14" s="1"/>
  <c r="K2" i="14"/>
  <c r="J2" i="14"/>
  <c r="J13" i="14" s="1"/>
  <c r="J14" i="14" s="1"/>
  <c r="I2" i="14"/>
  <c r="I13" i="14" s="1"/>
  <c r="I1" i="14"/>
  <c r="H26" i="12"/>
  <c r="I10" i="12"/>
  <c r="J10" i="12" s="1"/>
  <c r="H17" i="12"/>
  <c r="H14" i="12"/>
  <c r="I13" i="12"/>
  <c r="H13" i="12"/>
  <c r="H15" i="12" s="1"/>
  <c r="H16" i="12" s="1"/>
  <c r="H12" i="12"/>
  <c r="I11" i="12"/>
  <c r="H11" i="12"/>
  <c r="I7" i="12"/>
  <c r="J7" i="12" s="1"/>
  <c r="K7" i="12" s="1"/>
  <c r="K11" i="12" s="1"/>
  <c r="I4" i="12"/>
  <c r="J4" i="12" s="1"/>
  <c r="K4" i="12" s="1"/>
  <c r="L4" i="12" s="1"/>
  <c r="M4" i="12" s="1"/>
  <c r="N4" i="12" s="1"/>
  <c r="O4" i="12" s="1"/>
  <c r="P4" i="12" s="1"/>
  <c r="Q4" i="12" s="1"/>
  <c r="R4" i="12" s="1"/>
  <c r="S4" i="12" s="1"/>
  <c r="T4" i="12" s="1"/>
  <c r="U4" i="12" s="1"/>
  <c r="V4" i="12" s="1"/>
  <c r="W4" i="12" s="1"/>
  <c r="X4" i="12" s="1"/>
  <c r="Y4" i="12" s="1"/>
  <c r="Z4" i="12" s="1"/>
  <c r="AA4" i="12" s="1"/>
  <c r="AB4" i="12" s="1"/>
  <c r="AC4" i="12" s="1"/>
  <c r="AD4" i="12" s="1"/>
  <c r="AE4" i="12" s="1"/>
  <c r="AF4" i="12" s="1"/>
  <c r="AG4" i="12" s="1"/>
  <c r="AH4" i="12" s="1"/>
  <c r="AI4" i="12" s="1"/>
  <c r="AJ4" i="12" s="1"/>
  <c r="AK4" i="12" s="1"/>
  <c r="AL4" i="12" s="1"/>
  <c r="AM4" i="12" s="1"/>
  <c r="AN4" i="12" s="1"/>
  <c r="AO4" i="12" s="1"/>
  <c r="AP4" i="12" s="1"/>
  <c r="AQ4" i="12" s="1"/>
  <c r="AR4" i="12" s="1"/>
  <c r="AS4" i="12" s="1"/>
  <c r="AT4" i="12" s="1"/>
  <c r="I2" i="12"/>
  <c r="J2" i="12" s="1"/>
  <c r="J13" i="12" s="1"/>
  <c r="J14" i="12" s="1"/>
  <c r="I1" i="12"/>
  <c r="I17" i="12" s="1"/>
  <c r="G20" i="11"/>
  <c r="O17" i="11"/>
  <c r="P17" i="11"/>
  <c r="W17" i="11"/>
  <c r="X17" i="11"/>
  <c r="AE17" i="11"/>
  <c r="AF17" i="11"/>
  <c r="AM17" i="11"/>
  <c r="AN17" i="11"/>
  <c r="H17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J12" i="11"/>
  <c r="AK12" i="11"/>
  <c r="AL12" i="11"/>
  <c r="AM12" i="11"/>
  <c r="AN12" i="11"/>
  <c r="AO12" i="11"/>
  <c r="AP12" i="11"/>
  <c r="AQ12" i="11"/>
  <c r="AR12" i="11"/>
  <c r="AS12" i="11"/>
  <c r="AT12" i="11"/>
  <c r="H13" i="11"/>
  <c r="H14" i="11" s="1"/>
  <c r="H12" i="11"/>
  <c r="H11" i="11"/>
  <c r="I7" i="11"/>
  <c r="I11" i="11" s="1"/>
  <c r="I4" i="11"/>
  <c r="J4" i="11" s="1"/>
  <c r="K4" i="11" s="1"/>
  <c r="L4" i="11" s="1"/>
  <c r="M4" i="11" s="1"/>
  <c r="N4" i="11" s="1"/>
  <c r="O4" i="11" s="1"/>
  <c r="P4" i="11" s="1"/>
  <c r="Q4" i="11" s="1"/>
  <c r="R4" i="11" s="1"/>
  <c r="S4" i="11" s="1"/>
  <c r="T4" i="11" s="1"/>
  <c r="U4" i="11" s="1"/>
  <c r="V4" i="11" s="1"/>
  <c r="W4" i="11" s="1"/>
  <c r="X4" i="11" s="1"/>
  <c r="Y4" i="11" s="1"/>
  <c r="Z4" i="11" s="1"/>
  <c r="AA4" i="11" s="1"/>
  <c r="AB4" i="11" s="1"/>
  <c r="AC4" i="11" s="1"/>
  <c r="AD4" i="11" s="1"/>
  <c r="AE4" i="11" s="1"/>
  <c r="AF4" i="11" s="1"/>
  <c r="AG4" i="11" s="1"/>
  <c r="AH4" i="11" s="1"/>
  <c r="AI4" i="11" s="1"/>
  <c r="AJ4" i="11" s="1"/>
  <c r="AK4" i="11" s="1"/>
  <c r="AL4" i="11" s="1"/>
  <c r="AM4" i="11" s="1"/>
  <c r="AN4" i="11" s="1"/>
  <c r="AO4" i="11" s="1"/>
  <c r="AP4" i="11" s="1"/>
  <c r="AQ4" i="11" s="1"/>
  <c r="AR4" i="11" s="1"/>
  <c r="AS4" i="11" s="1"/>
  <c r="AT4" i="11" s="1"/>
  <c r="J2" i="11"/>
  <c r="I2" i="11"/>
  <c r="I13" i="11" s="1"/>
  <c r="I14" i="11" s="1"/>
  <c r="I1" i="11"/>
  <c r="J1" i="11" s="1"/>
  <c r="K1" i="11" s="1"/>
  <c r="L1" i="11" s="1"/>
  <c r="M1" i="11" s="1"/>
  <c r="N1" i="11" s="1"/>
  <c r="O1" i="11" s="1"/>
  <c r="P1" i="11" s="1"/>
  <c r="Q1" i="11" s="1"/>
  <c r="R1" i="11" s="1"/>
  <c r="S1" i="11" s="1"/>
  <c r="T1" i="11" s="1"/>
  <c r="U1" i="11" s="1"/>
  <c r="V1" i="11" s="1"/>
  <c r="W1" i="11" s="1"/>
  <c r="X1" i="11" s="1"/>
  <c r="Y1" i="11" s="1"/>
  <c r="Z1" i="11" s="1"/>
  <c r="AA1" i="11" s="1"/>
  <c r="AB1" i="11" s="1"/>
  <c r="AC1" i="11" s="1"/>
  <c r="AD1" i="11" s="1"/>
  <c r="AE1" i="11" s="1"/>
  <c r="AF1" i="11" s="1"/>
  <c r="AG1" i="11" s="1"/>
  <c r="AH1" i="11" s="1"/>
  <c r="AI1" i="11" s="1"/>
  <c r="AJ1" i="11" s="1"/>
  <c r="AK1" i="11" s="1"/>
  <c r="AL1" i="11" s="1"/>
  <c r="AM1" i="11" s="1"/>
  <c r="AN1" i="11" s="1"/>
  <c r="AO1" i="11" s="1"/>
  <c r="AP1" i="11" s="1"/>
  <c r="AQ1" i="11" s="1"/>
  <c r="AR1" i="11" s="1"/>
  <c r="AS1" i="11" s="1"/>
  <c r="AT1" i="11" s="1"/>
  <c r="AT17" i="11" s="1"/>
  <c r="I17" i="14" l="1"/>
  <c r="J1" i="14"/>
  <c r="L2" i="14"/>
  <c r="K13" i="14"/>
  <c r="I11" i="14"/>
  <c r="I12" i="14" s="1"/>
  <c r="I16" i="14" s="1"/>
  <c r="H18" i="14"/>
  <c r="L7" i="14"/>
  <c r="J11" i="14"/>
  <c r="J12" i="14" s="1"/>
  <c r="J16" i="14" s="1"/>
  <c r="H15" i="14"/>
  <c r="H14" i="14"/>
  <c r="J15" i="14" s="1"/>
  <c r="I14" i="14"/>
  <c r="I12" i="12"/>
  <c r="K10" i="12"/>
  <c r="L10" i="12" s="1"/>
  <c r="J12" i="12"/>
  <c r="K12" i="12"/>
  <c r="L7" i="12"/>
  <c r="J11" i="12"/>
  <c r="J1" i="12"/>
  <c r="K2" i="12"/>
  <c r="H18" i="12"/>
  <c r="I15" i="12"/>
  <c r="I16" i="12" s="1"/>
  <c r="I18" i="12" s="1"/>
  <c r="I14" i="12"/>
  <c r="J15" i="12" s="1"/>
  <c r="J16" i="12" s="1"/>
  <c r="AR17" i="11"/>
  <c r="AJ17" i="11"/>
  <c r="AB17" i="11"/>
  <c r="T17" i="11"/>
  <c r="L17" i="11"/>
  <c r="J7" i="11"/>
  <c r="J11" i="11" s="1"/>
  <c r="AQ17" i="11"/>
  <c r="AI17" i="11"/>
  <c r="AA17" i="11"/>
  <c r="S17" i="11"/>
  <c r="K17" i="11"/>
  <c r="K2" i="11"/>
  <c r="J13" i="11"/>
  <c r="J14" i="11" s="1"/>
  <c r="AP17" i="11"/>
  <c r="AL17" i="11"/>
  <c r="AH17" i="11"/>
  <c r="AD17" i="11"/>
  <c r="Z17" i="11"/>
  <c r="V17" i="11"/>
  <c r="R17" i="11"/>
  <c r="N17" i="11"/>
  <c r="J17" i="11"/>
  <c r="AS17" i="11"/>
  <c r="AO17" i="11"/>
  <c r="AK17" i="11"/>
  <c r="AG17" i="11"/>
  <c r="AC17" i="11"/>
  <c r="Y17" i="11"/>
  <c r="U17" i="11"/>
  <c r="Q17" i="11"/>
  <c r="M17" i="11"/>
  <c r="I17" i="11"/>
  <c r="I15" i="11"/>
  <c r="I16" i="11" s="1"/>
  <c r="H15" i="11"/>
  <c r="H16" i="11" s="1"/>
  <c r="H18" i="11" s="1"/>
  <c r="K7" i="11"/>
  <c r="K14" i="14" l="1"/>
  <c r="K15" i="14"/>
  <c r="L11" i="14"/>
  <c r="L12" i="14" s="1"/>
  <c r="L16" i="14" s="1"/>
  <c r="M7" i="14"/>
  <c r="M2" i="14"/>
  <c r="L13" i="14"/>
  <c r="I15" i="14"/>
  <c r="J17" i="14"/>
  <c r="J18" i="14" s="1"/>
  <c r="K1" i="14"/>
  <c r="I18" i="14"/>
  <c r="L12" i="12"/>
  <c r="M10" i="12"/>
  <c r="K13" i="12"/>
  <c r="L2" i="12"/>
  <c r="J17" i="12"/>
  <c r="J18" i="12" s="1"/>
  <c r="K1" i="12"/>
  <c r="L11" i="12"/>
  <c r="M7" i="12"/>
  <c r="J15" i="11"/>
  <c r="J16" i="11" s="1"/>
  <c r="I18" i="11"/>
  <c r="L2" i="11"/>
  <c r="K13" i="11"/>
  <c r="J18" i="11"/>
  <c r="K11" i="11"/>
  <c r="L7" i="11"/>
  <c r="N7" i="14" l="1"/>
  <c r="M11" i="14"/>
  <c r="M12" i="14" s="1"/>
  <c r="M16" i="14" s="1"/>
  <c r="L15" i="14"/>
  <c r="L14" i="14"/>
  <c r="K17" i="14"/>
  <c r="K18" i="14" s="1"/>
  <c r="L1" i="14"/>
  <c r="M13" i="14"/>
  <c r="N2" i="14"/>
  <c r="N10" i="12"/>
  <c r="M12" i="12"/>
  <c r="K17" i="12"/>
  <c r="L1" i="12"/>
  <c r="M11" i="12"/>
  <c r="N7" i="12"/>
  <c r="L13" i="12"/>
  <c r="M2" i="12"/>
  <c r="K14" i="12"/>
  <c r="K15" i="12"/>
  <c r="K16" i="12" s="1"/>
  <c r="M2" i="11"/>
  <c r="L13" i="11"/>
  <c r="L14" i="11" s="1"/>
  <c r="K14" i="11"/>
  <c r="K15" i="11"/>
  <c r="K16" i="11" s="1"/>
  <c r="K18" i="11" s="1"/>
  <c r="M7" i="11"/>
  <c r="L11" i="11"/>
  <c r="M15" i="14" l="1"/>
  <c r="M14" i="14"/>
  <c r="N13" i="14"/>
  <c r="O2" i="14"/>
  <c r="L17" i="14"/>
  <c r="L18" i="14" s="1"/>
  <c r="M1" i="14"/>
  <c r="O7" i="14"/>
  <c r="N11" i="14"/>
  <c r="N12" i="14" s="1"/>
  <c r="N16" i="14" s="1"/>
  <c r="N12" i="12"/>
  <c r="O10" i="12"/>
  <c r="O7" i="12"/>
  <c r="N11" i="12"/>
  <c r="N2" i="12"/>
  <c r="M13" i="12"/>
  <c r="M1" i="12"/>
  <c r="L17" i="12"/>
  <c r="L15" i="12"/>
  <c r="L16" i="12" s="1"/>
  <c r="L14" i="12"/>
  <c r="K18" i="12"/>
  <c r="N2" i="11"/>
  <c r="M13" i="11"/>
  <c r="M14" i="11" s="1"/>
  <c r="L15" i="11"/>
  <c r="L16" i="11" s="1"/>
  <c r="L18" i="11" s="1"/>
  <c r="N7" i="11"/>
  <c r="M11" i="11"/>
  <c r="O11" i="14" l="1"/>
  <c r="O12" i="14" s="1"/>
  <c r="O16" i="14" s="1"/>
  <c r="P7" i="14"/>
  <c r="O13" i="14"/>
  <c r="P2" i="14"/>
  <c r="N14" i="14"/>
  <c r="N15" i="14"/>
  <c r="M17" i="14"/>
  <c r="M18" i="14" s="1"/>
  <c r="N1" i="14"/>
  <c r="P10" i="12"/>
  <c r="O12" i="12"/>
  <c r="N13" i="12"/>
  <c r="O2" i="12"/>
  <c r="L18" i="12"/>
  <c r="M15" i="12"/>
  <c r="M16" i="12" s="1"/>
  <c r="M14" i="12"/>
  <c r="M17" i="12"/>
  <c r="N1" i="12"/>
  <c r="P7" i="12"/>
  <c r="O11" i="12"/>
  <c r="M15" i="11"/>
  <c r="M16" i="11" s="1"/>
  <c r="M18" i="11" s="1"/>
  <c r="O2" i="11"/>
  <c r="N13" i="11"/>
  <c r="N11" i="11"/>
  <c r="O7" i="11"/>
  <c r="O14" i="14" l="1"/>
  <c r="O15" i="14"/>
  <c r="N17" i="14"/>
  <c r="N18" i="14" s="1"/>
  <c r="O1" i="14"/>
  <c r="P13" i="14"/>
  <c r="Q2" i="14"/>
  <c r="P11" i="14"/>
  <c r="P12" i="14" s="1"/>
  <c r="P16" i="14" s="1"/>
  <c r="Q7" i="14"/>
  <c r="P12" i="12"/>
  <c r="Q10" i="12"/>
  <c r="N17" i="12"/>
  <c r="O1" i="12"/>
  <c r="M18" i="12"/>
  <c r="O13" i="12"/>
  <c r="P2" i="12"/>
  <c r="P11" i="12"/>
  <c r="Q7" i="12"/>
  <c r="N15" i="12"/>
  <c r="N16" i="12" s="1"/>
  <c r="N14" i="12"/>
  <c r="N14" i="11"/>
  <c r="N15" i="11"/>
  <c r="N16" i="11" s="1"/>
  <c r="N18" i="11" s="1"/>
  <c r="P2" i="11"/>
  <c r="O13" i="11"/>
  <c r="O14" i="11" s="1"/>
  <c r="P7" i="11"/>
  <c r="O11" i="11"/>
  <c r="R7" i="14" l="1"/>
  <c r="Q11" i="14"/>
  <c r="Q12" i="14" s="1"/>
  <c r="Q16" i="14" s="1"/>
  <c r="O17" i="14"/>
  <c r="O18" i="14" s="1"/>
  <c r="P1" i="14"/>
  <c r="Q13" i="14"/>
  <c r="R2" i="14"/>
  <c r="P15" i="14"/>
  <c r="P14" i="14"/>
  <c r="R10" i="12"/>
  <c r="Q12" i="12"/>
  <c r="Q11" i="12"/>
  <c r="R7" i="12"/>
  <c r="P1" i="12"/>
  <c r="O17" i="12"/>
  <c r="O14" i="12"/>
  <c r="O15" i="12"/>
  <c r="O16" i="12" s="1"/>
  <c r="P13" i="12"/>
  <c r="Q2" i="12"/>
  <c r="N18" i="12"/>
  <c r="Q2" i="11"/>
  <c r="P13" i="11"/>
  <c r="P14" i="11" s="1"/>
  <c r="O15" i="11"/>
  <c r="O16" i="11" s="1"/>
  <c r="O18" i="11" s="1"/>
  <c r="Q7" i="11"/>
  <c r="P11" i="11"/>
  <c r="P17" i="14" l="1"/>
  <c r="P18" i="14" s="1"/>
  <c r="Q1" i="14"/>
  <c r="R13" i="14"/>
  <c r="S2" i="14"/>
  <c r="Q15" i="14"/>
  <c r="Q14" i="14"/>
  <c r="S7" i="14"/>
  <c r="R11" i="14"/>
  <c r="R12" i="14" s="1"/>
  <c r="R16" i="14" s="1"/>
  <c r="O18" i="12"/>
  <c r="S10" i="12"/>
  <c r="R12" i="12"/>
  <c r="P15" i="12"/>
  <c r="P16" i="12" s="1"/>
  <c r="P14" i="12"/>
  <c r="S7" i="12"/>
  <c r="R11" i="12"/>
  <c r="P17" i="12"/>
  <c r="Q1" i="12"/>
  <c r="Q13" i="12"/>
  <c r="R2" i="12"/>
  <c r="P15" i="11"/>
  <c r="P16" i="11" s="1"/>
  <c r="P18" i="11" s="1"/>
  <c r="R2" i="11"/>
  <c r="Q13" i="11"/>
  <c r="Q14" i="11" s="1"/>
  <c r="Q11" i="11"/>
  <c r="R7" i="11"/>
  <c r="T2" i="14" l="1"/>
  <c r="S13" i="14"/>
  <c r="R14" i="14"/>
  <c r="R15" i="14"/>
  <c r="S11" i="14"/>
  <c r="S12" i="14" s="1"/>
  <c r="S16" i="14" s="1"/>
  <c r="T7" i="14"/>
  <c r="Q17" i="14"/>
  <c r="Q18" i="14" s="1"/>
  <c r="R1" i="14"/>
  <c r="P18" i="12"/>
  <c r="T10" i="12"/>
  <c r="S12" i="12"/>
  <c r="Q15" i="12"/>
  <c r="Q16" i="12" s="1"/>
  <c r="Q14" i="12"/>
  <c r="T7" i="12"/>
  <c r="S11" i="12"/>
  <c r="R13" i="12"/>
  <c r="S2" i="12"/>
  <c r="Q17" i="12"/>
  <c r="R1" i="12"/>
  <c r="S2" i="11"/>
  <c r="R13" i="11"/>
  <c r="R14" i="11" s="1"/>
  <c r="Q15" i="11"/>
  <c r="Q16" i="11" s="1"/>
  <c r="Q18" i="11" s="1"/>
  <c r="R11" i="11"/>
  <c r="S7" i="11"/>
  <c r="R17" i="14" l="1"/>
  <c r="R18" i="14" s="1"/>
  <c r="S1" i="14"/>
  <c r="S14" i="14"/>
  <c r="S15" i="14"/>
  <c r="T11" i="14"/>
  <c r="T12" i="14" s="1"/>
  <c r="T16" i="14" s="1"/>
  <c r="U7" i="14"/>
  <c r="U2" i="14"/>
  <c r="T13" i="14"/>
  <c r="Q18" i="12"/>
  <c r="T12" i="12"/>
  <c r="U10" i="12"/>
  <c r="R17" i="12"/>
  <c r="S1" i="12"/>
  <c r="T11" i="12"/>
  <c r="U7" i="12"/>
  <c r="T2" i="12"/>
  <c r="S13" i="12"/>
  <c r="R15" i="12"/>
  <c r="R16" i="12" s="1"/>
  <c r="R14" i="12"/>
  <c r="T2" i="11"/>
  <c r="S13" i="11"/>
  <c r="S14" i="11" s="1"/>
  <c r="R15" i="11"/>
  <c r="R16" i="11" s="1"/>
  <c r="R18" i="11" s="1"/>
  <c r="S11" i="11"/>
  <c r="T7" i="11"/>
  <c r="U13" i="14" l="1"/>
  <c r="V2" i="14"/>
  <c r="V7" i="14"/>
  <c r="U11" i="14"/>
  <c r="U12" i="14" s="1"/>
  <c r="U16" i="14" s="1"/>
  <c r="S17" i="14"/>
  <c r="S18" i="14" s="1"/>
  <c r="T1" i="14"/>
  <c r="T15" i="14"/>
  <c r="T14" i="14"/>
  <c r="V10" i="12"/>
  <c r="U12" i="12"/>
  <c r="U11" i="12"/>
  <c r="V7" i="12"/>
  <c r="S14" i="12"/>
  <c r="S15" i="12"/>
  <c r="S16" i="12" s="1"/>
  <c r="T1" i="12"/>
  <c r="S17" i="12"/>
  <c r="U2" i="12"/>
  <c r="T13" i="12"/>
  <c r="R18" i="12"/>
  <c r="U2" i="11"/>
  <c r="T13" i="11"/>
  <c r="T14" i="11" s="1"/>
  <c r="S15" i="11"/>
  <c r="S16" i="11" s="1"/>
  <c r="S18" i="11" s="1"/>
  <c r="U7" i="11"/>
  <c r="T11" i="11"/>
  <c r="W7" i="14" l="1"/>
  <c r="V11" i="14"/>
  <c r="V12" i="14" s="1"/>
  <c r="V16" i="14" s="1"/>
  <c r="T17" i="14"/>
  <c r="T18" i="14" s="1"/>
  <c r="U1" i="14"/>
  <c r="V13" i="14"/>
  <c r="W2" i="14"/>
  <c r="U15" i="14"/>
  <c r="U14" i="14"/>
  <c r="W10" i="12"/>
  <c r="V12" i="12"/>
  <c r="V2" i="12"/>
  <c r="U13" i="12"/>
  <c r="S18" i="12"/>
  <c r="W7" i="12"/>
  <c r="V11" i="12"/>
  <c r="T15" i="12"/>
  <c r="T16" i="12" s="1"/>
  <c r="T14" i="12"/>
  <c r="T17" i="12"/>
  <c r="U1" i="12"/>
  <c r="V2" i="11"/>
  <c r="U13" i="11"/>
  <c r="U14" i="11" s="1"/>
  <c r="T15" i="11"/>
  <c r="T16" i="11" s="1"/>
  <c r="T18" i="11" s="1"/>
  <c r="V7" i="11"/>
  <c r="U11" i="11"/>
  <c r="U17" i="14" l="1"/>
  <c r="U18" i="14" s="1"/>
  <c r="V1" i="14"/>
  <c r="W13" i="14"/>
  <c r="X2" i="14"/>
  <c r="V14" i="14"/>
  <c r="V15" i="14"/>
  <c r="W11" i="14"/>
  <c r="W12" i="14" s="1"/>
  <c r="W16" i="14" s="1"/>
  <c r="X7" i="14"/>
  <c r="T18" i="12"/>
  <c r="X10" i="12"/>
  <c r="W12" i="12"/>
  <c r="U14" i="12"/>
  <c r="U15" i="12"/>
  <c r="U16" i="12" s="1"/>
  <c r="W11" i="12"/>
  <c r="X7" i="12"/>
  <c r="U17" i="12"/>
  <c r="V1" i="12"/>
  <c r="V13" i="12"/>
  <c r="W2" i="12"/>
  <c r="W2" i="11"/>
  <c r="V13" i="11"/>
  <c r="V14" i="11" s="1"/>
  <c r="U15" i="11"/>
  <c r="U16" i="11" s="1"/>
  <c r="U18" i="11" s="1"/>
  <c r="V11" i="11"/>
  <c r="W7" i="11"/>
  <c r="W14" i="14" l="1"/>
  <c r="W15" i="14"/>
  <c r="X11" i="14"/>
  <c r="X12" i="14" s="1"/>
  <c r="X16" i="14" s="1"/>
  <c r="Y7" i="14"/>
  <c r="X13" i="14"/>
  <c r="Y2" i="14"/>
  <c r="V17" i="14"/>
  <c r="V18" i="14" s="1"/>
  <c r="W1" i="14"/>
  <c r="X12" i="12"/>
  <c r="Y10" i="12"/>
  <c r="W13" i="12"/>
  <c r="X2" i="12"/>
  <c r="X11" i="12"/>
  <c r="Y7" i="12"/>
  <c r="V14" i="12"/>
  <c r="V15" i="12"/>
  <c r="V16" i="12" s="1"/>
  <c r="V17" i="12"/>
  <c r="W1" i="12"/>
  <c r="U18" i="12"/>
  <c r="X2" i="11"/>
  <c r="W13" i="11"/>
  <c r="W14" i="11" s="1"/>
  <c r="V15" i="11"/>
  <c r="V16" i="11" s="1"/>
  <c r="V18" i="11" s="1"/>
  <c r="X7" i="11"/>
  <c r="W11" i="11"/>
  <c r="W17" i="14" l="1"/>
  <c r="W18" i="14" s="1"/>
  <c r="X1" i="14"/>
  <c r="Z7" i="14"/>
  <c r="Y11" i="14"/>
  <c r="Y12" i="14" s="1"/>
  <c r="Y16" i="14" s="1"/>
  <c r="Y13" i="14"/>
  <c r="Z2" i="14"/>
  <c r="X15" i="14"/>
  <c r="X14" i="14"/>
  <c r="Z10" i="12"/>
  <c r="Y12" i="12"/>
  <c r="X1" i="12"/>
  <c r="W17" i="12"/>
  <c r="Z7" i="12"/>
  <c r="Y11" i="12"/>
  <c r="V18" i="12"/>
  <c r="Y2" i="12"/>
  <c r="X13" i="12"/>
  <c r="W14" i="12"/>
  <c r="W15" i="12"/>
  <c r="W16" i="12" s="1"/>
  <c r="Y2" i="11"/>
  <c r="X13" i="11"/>
  <c r="X14" i="11" s="1"/>
  <c r="W15" i="11"/>
  <c r="W16" i="11" s="1"/>
  <c r="W18" i="11" s="1"/>
  <c r="Y7" i="11"/>
  <c r="X11" i="11"/>
  <c r="AA7" i="14" l="1"/>
  <c r="Z11" i="14"/>
  <c r="Z12" i="14" s="1"/>
  <c r="Z16" i="14" s="1"/>
  <c r="Z13" i="14"/>
  <c r="AA2" i="14"/>
  <c r="X17" i="14"/>
  <c r="X18" i="14" s="1"/>
  <c r="Y1" i="14"/>
  <c r="Y15" i="14"/>
  <c r="Y14" i="14"/>
  <c r="Z12" i="12"/>
  <c r="AA10" i="12"/>
  <c r="X17" i="12"/>
  <c r="Y1" i="12"/>
  <c r="AA7" i="12"/>
  <c r="Z11" i="12"/>
  <c r="X15" i="12"/>
  <c r="X16" i="12" s="1"/>
  <c r="X14" i="12"/>
  <c r="Z2" i="12"/>
  <c r="Y13" i="12"/>
  <c r="W18" i="12"/>
  <c r="Z2" i="11"/>
  <c r="Y13" i="11"/>
  <c r="Y14" i="11" s="1"/>
  <c r="X15" i="11"/>
  <c r="X16" i="11" s="1"/>
  <c r="X18" i="11" s="1"/>
  <c r="Z7" i="11"/>
  <c r="Y11" i="11"/>
  <c r="AB2" i="14" l="1"/>
  <c r="AA13" i="14"/>
  <c r="Z14" i="14"/>
  <c r="Z15" i="14"/>
  <c r="Y17" i="14"/>
  <c r="Y18" i="14" s="1"/>
  <c r="Z1" i="14"/>
  <c r="AA11" i="14"/>
  <c r="AA12" i="14" s="1"/>
  <c r="AA16" i="14" s="1"/>
  <c r="AB7" i="14"/>
  <c r="AB10" i="12"/>
  <c r="AA12" i="12"/>
  <c r="Z13" i="12"/>
  <c r="AA2" i="12"/>
  <c r="AA11" i="12"/>
  <c r="AB7" i="12"/>
  <c r="Y15" i="12"/>
  <c r="Y16" i="12" s="1"/>
  <c r="Y14" i="12"/>
  <c r="Y17" i="12"/>
  <c r="Z1" i="12"/>
  <c r="X18" i="12"/>
  <c r="AA2" i="11"/>
  <c r="Z13" i="11"/>
  <c r="Z14" i="11" s="1"/>
  <c r="Y15" i="11"/>
  <c r="Y16" i="11" s="1"/>
  <c r="Y18" i="11" s="1"/>
  <c r="Z11" i="11"/>
  <c r="AA7" i="11"/>
  <c r="Z17" i="14" l="1"/>
  <c r="Z18" i="14" s="1"/>
  <c r="AA1" i="14"/>
  <c r="AB11" i="14"/>
  <c r="AB12" i="14" s="1"/>
  <c r="AB16" i="14" s="1"/>
  <c r="AC7" i="14"/>
  <c r="AA14" i="14"/>
  <c r="AA15" i="14"/>
  <c r="AC2" i="14"/>
  <c r="AB13" i="14"/>
  <c r="AB12" i="12"/>
  <c r="AC10" i="12"/>
  <c r="AB11" i="12"/>
  <c r="AC7" i="12"/>
  <c r="Z17" i="12"/>
  <c r="AA1" i="12"/>
  <c r="Y18" i="12"/>
  <c r="AA13" i="12"/>
  <c r="AB2" i="12"/>
  <c r="Z14" i="12"/>
  <c r="Z15" i="12"/>
  <c r="Z16" i="12" s="1"/>
  <c r="AB2" i="11"/>
  <c r="AA13" i="11"/>
  <c r="AA14" i="11" s="1"/>
  <c r="Z15" i="11"/>
  <c r="Z16" i="11" s="1"/>
  <c r="Z18" i="11" s="1"/>
  <c r="AA11" i="11"/>
  <c r="AB7" i="11"/>
  <c r="AB15" i="14" l="1"/>
  <c r="AB14" i="14"/>
  <c r="AD7" i="14"/>
  <c r="AC11" i="14"/>
  <c r="AC12" i="14" s="1"/>
  <c r="AC16" i="14" s="1"/>
  <c r="AC13" i="14"/>
  <c r="AD2" i="14"/>
  <c r="AA17" i="14"/>
  <c r="AA18" i="14" s="1"/>
  <c r="AB1" i="14"/>
  <c r="AD10" i="12"/>
  <c r="AC12" i="12"/>
  <c r="Z18" i="12"/>
  <c r="AA14" i="12"/>
  <c r="AA15" i="12"/>
  <c r="AA16" i="12" s="1"/>
  <c r="AC11" i="12"/>
  <c r="AD7" i="12"/>
  <c r="AA17" i="12"/>
  <c r="AB1" i="12"/>
  <c r="AB13" i="12"/>
  <c r="AC2" i="12"/>
  <c r="AC2" i="11"/>
  <c r="AB13" i="11"/>
  <c r="AB14" i="11" s="1"/>
  <c r="AA15" i="11"/>
  <c r="AA16" i="11" s="1"/>
  <c r="AA18" i="11" s="1"/>
  <c r="AC7" i="11"/>
  <c r="AB11" i="11"/>
  <c r="AB17" i="14" l="1"/>
  <c r="AB18" i="14" s="1"/>
  <c r="AC1" i="14"/>
  <c r="AE7" i="14"/>
  <c r="AD11" i="14"/>
  <c r="AD12" i="14" s="1"/>
  <c r="AD16" i="14" s="1"/>
  <c r="AD13" i="14"/>
  <c r="AE2" i="14"/>
  <c r="AC15" i="14"/>
  <c r="AC14" i="14"/>
  <c r="AE10" i="12"/>
  <c r="AD12" i="12"/>
  <c r="AB15" i="12"/>
  <c r="AB16" i="12" s="1"/>
  <c r="AB14" i="12"/>
  <c r="AC1" i="12"/>
  <c r="AB17" i="12"/>
  <c r="AD2" i="12"/>
  <c r="AC13" i="12"/>
  <c r="AE7" i="12"/>
  <c r="AD11" i="12"/>
  <c r="AA18" i="12"/>
  <c r="AD2" i="11"/>
  <c r="AC13" i="11"/>
  <c r="AC14" i="11" s="1"/>
  <c r="AB15" i="11"/>
  <c r="AB16" i="11" s="1"/>
  <c r="AB18" i="11" s="1"/>
  <c r="AC11" i="11"/>
  <c r="AD7" i="11"/>
  <c r="AE11" i="14" l="1"/>
  <c r="AE12" i="14" s="1"/>
  <c r="AE16" i="14" s="1"/>
  <c r="AF7" i="14"/>
  <c r="AE13" i="14"/>
  <c r="AF2" i="14"/>
  <c r="AC17" i="14"/>
  <c r="AC18" i="14" s="1"/>
  <c r="AD1" i="14"/>
  <c r="AD14" i="14"/>
  <c r="AD15" i="14"/>
  <c r="AB18" i="12"/>
  <c r="AE12" i="12"/>
  <c r="AF10" i="12"/>
  <c r="AF7" i="12"/>
  <c r="AE11" i="12"/>
  <c r="AD1" i="12"/>
  <c r="AC17" i="12"/>
  <c r="AC15" i="12"/>
  <c r="AC16" i="12" s="1"/>
  <c r="AC14" i="12"/>
  <c r="AD13" i="12"/>
  <c r="AE2" i="12"/>
  <c r="AE2" i="11"/>
  <c r="AD13" i="11"/>
  <c r="AD14" i="11" s="1"/>
  <c r="AC15" i="11"/>
  <c r="AC16" i="11" s="1"/>
  <c r="AC18" i="11" s="1"/>
  <c r="AD11" i="11"/>
  <c r="AE7" i="11"/>
  <c r="AF13" i="14" l="1"/>
  <c r="AG2" i="14"/>
  <c r="AE14" i="14"/>
  <c r="AE15" i="14"/>
  <c r="AD17" i="14"/>
  <c r="AD18" i="14" s="1"/>
  <c r="AE1" i="14"/>
  <c r="AF11" i="14"/>
  <c r="AF12" i="14" s="1"/>
  <c r="AF16" i="14" s="1"/>
  <c r="AG7" i="14"/>
  <c r="AF12" i="12"/>
  <c r="AG10" i="12"/>
  <c r="AD15" i="12"/>
  <c r="AD16" i="12" s="1"/>
  <c r="AD14" i="12"/>
  <c r="AD17" i="12"/>
  <c r="AE1" i="12"/>
  <c r="AC18" i="12"/>
  <c r="AE13" i="12"/>
  <c r="AF2" i="12"/>
  <c r="AF11" i="12"/>
  <c r="AG7" i="12"/>
  <c r="AF2" i="11"/>
  <c r="AE13" i="11"/>
  <c r="AE14" i="11" s="1"/>
  <c r="AD15" i="11"/>
  <c r="AD16" i="11" s="1"/>
  <c r="AD18" i="11" s="1"/>
  <c r="AF7" i="11"/>
  <c r="AE11" i="11"/>
  <c r="AH7" i="14" l="1"/>
  <c r="AG11" i="14"/>
  <c r="AG12" i="14" s="1"/>
  <c r="AG16" i="14" s="1"/>
  <c r="AE17" i="14"/>
  <c r="AE18" i="14" s="1"/>
  <c r="AF1" i="14"/>
  <c r="AG13" i="14"/>
  <c r="AH2" i="14"/>
  <c r="AF15" i="14"/>
  <c r="AF14" i="14"/>
  <c r="AH10" i="12"/>
  <c r="AG12" i="12"/>
  <c r="AF1" i="12"/>
  <c r="AE17" i="12"/>
  <c r="AF13" i="12"/>
  <c r="AG2" i="12"/>
  <c r="AD18" i="12"/>
  <c r="AE14" i="12"/>
  <c r="AE15" i="12"/>
  <c r="AE16" i="12" s="1"/>
  <c r="AG11" i="12"/>
  <c r="AH7" i="12"/>
  <c r="AG2" i="11"/>
  <c r="AF13" i="11"/>
  <c r="AF14" i="11" s="1"/>
  <c r="AE15" i="11"/>
  <c r="AE16" i="11" s="1"/>
  <c r="AE18" i="11" s="1"/>
  <c r="AG7" i="11"/>
  <c r="AF11" i="11"/>
  <c r="AF17" i="14" l="1"/>
  <c r="AF18" i="14" s="1"/>
  <c r="AG1" i="14"/>
  <c r="AH13" i="14"/>
  <c r="AI2" i="14"/>
  <c r="AG15" i="14"/>
  <c r="AG14" i="14"/>
  <c r="AI7" i="14"/>
  <c r="AH11" i="14"/>
  <c r="AH12" i="14" s="1"/>
  <c r="AH16" i="14" s="1"/>
  <c r="AH12" i="12"/>
  <c r="AI10" i="12"/>
  <c r="AF15" i="12"/>
  <c r="AF16" i="12" s="1"/>
  <c r="AF14" i="12"/>
  <c r="AG13" i="12"/>
  <c r="AH2" i="12"/>
  <c r="AE18" i="12"/>
  <c r="AI7" i="12"/>
  <c r="AH11" i="12"/>
  <c r="AF17" i="12"/>
  <c r="AG1" i="12"/>
  <c r="AF15" i="11"/>
  <c r="AF16" i="11" s="1"/>
  <c r="AF18" i="11" s="1"/>
  <c r="AH2" i="11"/>
  <c r="AG13" i="11"/>
  <c r="AG14" i="11" s="1"/>
  <c r="AH7" i="11"/>
  <c r="AG11" i="11"/>
  <c r="AI11" i="14" l="1"/>
  <c r="AI12" i="14" s="1"/>
  <c r="AI16" i="14" s="1"/>
  <c r="AJ7" i="14"/>
  <c r="AI13" i="14"/>
  <c r="AJ2" i="14"/>
  <c r="AH14" i="14"/>
  <c r="AH15" i="14"/>
  <c r="AG17" i="14"/>
  <c r="AG18" i="14" s="1"/>
  <c r="AH1" i="14"/>
  <c r="AF18" i="12"/>
  <c r="AJ10" i="12"/>
  <c r="AI12" i="12"/>
  <c r="AG14" i="12"/>
  <c r="AG15" i="12"/>
  <c r="AG16" i="12" s="1"/>
  <c r="AH13" i="12"/>
  <c r="AI2" i="12"/>
  <c r="AJ7" i="12"/>
  <c r="AI11" i="12"/>
  <c r="AG17" i="12"/>
  <c r="AH1" i="12"/>
  <c r="AI2" i="11"/>
  <c r="AH13" i="11"/>
  <c r="AH14" i="11" s="1"/>
  <c r="AG15" i="11"/>
  <c r="AG16" i="11" s="1"/>
  <c r="AG18" i="11" s="1"/>
  <c r="AH11" i="11"/>
  <c r="AI7" i="11"/>
  <c r="AI14" i="14" l="1"/>
  <c r="AI15" i="14"/>
  <c r="AH17" i="14"/>
  <c r="AH18" i="14" s="1"/>
  <c r="AI1" i="14"/>
  <c r="AK2" i="14"/>
  <c r="AJ13" i="14"/>
  <c r="AJ11" i="14"/>
  <c r="AJ12" i="14" s="1"/>
  <c r="AJ16" i="14" s="1"/>
  <c r="AK7" i="14"/>
  <c r="AG18" i="12"/>
  <c r="AJ12" i="12"/>
  <c r="AK10" i="12"/>
  <c r="AH15" i="12"/>
  <c r="AH16" i="12" s="1"/>
  <c r="AH14" i="12"/>
  <c r="AH17" i="12"/>
  <c r="AI1" i="12"/>
  <c r="AJ2" i="12"/>
  <c r="AI13" i="12"/>
  <c r="AJ11" i="12"/>
  <c r="AK7" i="12"/>
  <c r="AJ2" i="11"/>
  <c r="AI13" i="11"/>
  <c r="AI14" i="11" s="1"/>
  <c r="AH15" i="11"/>
  <c r="AH16" i="11" s="1"/>
  <c r="AH18" i="11" s="1"/>
  <c r="AI11" i="11"/>
  <c r="AJ7" i="11"/>
  <c r="AL7" i="14" l="1"/>
  <c r="AK11" i="14"/>
  <c r="AK12" i="14" s="1"/>
  <c r="AK16" i="14" s="1"/>
  <c r="AI17" i="14"/>
  <c r="AI18" i="14" s="1"/>
  <c r="AJ1" i="14"/>
  <c r="AJ15" i="14"/>
  <c r="AJ14" i="14"/>
  <c r="AK13" i="14"/>
  <c r="AL2" i="14"/>
  <c r="AL10" i="12"/>
  <c r="AK12" i="12"/>
  <c r="AJ1" i="12"/>
  <c r="AI17" i="12"/>
  <c r="AH18" i="12"/>
  <c r="AI14" i="12"/>
  <c r="AI15" i="12"/>
  <c r="AI16" i="12" s="1"/>
  <c r="AK11" i="12"/>
  <c r="AL7" i="12"/>
  <c r="AK2" i="12"/>
  <c r="AJ13" i="12"/>
  <c r="AK2" i="11"/>
  <c r="AJ13" i="11"/>
  <c r="AJ14" i="11" s="1"/>
  <c r="AI15" i="11"/>
  <c r="AI16" i="11" s="1"/>
  <c r="AI18" i="11" s="1"/>
  <c r="AK7" i="11"/>
  <c r="AJ11" i="11"/>
  <c r="AK15" i="14" l="1"/>
  <c r="AK14" i="14"/>
  <c r="AL13" i="14"/>
  <c r="AM2" i="14"/>
  <c r="AJ17" i="14"/>
  <c r="AJ18" i="14" s="1"/>
  <c r="AK1" i="14"/>
  <c r="AM7" i="14"/>
  <c r="AL11" i="14"/>
  <c r="AL12" i="14" s="1"/>
  <c r="AL16" i="14" s="1"/>
  <c r="AI18" i="12"/>
  <c r="AL12" i="12"/>
  <c r="AM10" i="12"/>
  <c r="AL2" i="12"/>
  <c r="AK13" i="12"/>
  <c r="AM7" i="12"/>
  <c r="AL11" i="12"/>
  <c r="AJ15" i="12"/>
  <c r="AJ16" i="12" s="1"/>
  <c r="AJ14" i="12"/>
  <c r="AJ17" i="12"/>
  <c r="AK1" i="12"/>
  <c r="AL2" i="11"/>
  <c r="AK13" i="11"/>
  <c r="AK14" i="11" s="1"/>
  <c r="AJ15" i="11"/>
  <c r="AJ16" i="11" s="1"/>
  <c r="AJ18" i="11" s="1"/>
  <c r="AK11" i="11"/>
  <c r="AL7" i="11"/>
  <c r="AM11" i="14" l="1"/>
  <c r="AM12" i="14" s="1"/>
  <c r="AM16" i="14" s="1"/>
  <c r="AN7" i="14"/>
  <c r="AM13" i="14"/>
  <c r="AN2" i="14"/>
  <c r="AL14" i="14"/>
  <c r="AL15" i="14"/>
  <c r="AK17" i="14"/>
  <c r="AK18" i="14" s="1"/>
  <c r="AL1" i="14"/>
  <c r="AN10" i="12"/>
  <c r="AM12" i="12"/>
  <c r="AJ18" i="12"/>
  <c r="AM11" i="12"/>
  <c r="AN7" i="12"/>
  <c r="AK14" i="12"/>
  <c r="AK15" i="12"/>
  <c r="AK16" i="12" s="1"/>
  <c r="AK17" i="12"/>
  <c r="AL1" i="12"/>
  <c r="AL13" i="12"/>
  <c r="AM2" i="12"/>
  <c r="AM2" i="11"/>
  <c r="AL13" i="11"/>
  <c r="AL14" i="11" s="1"/>
  <c r="AK15" i="11"/>
  <c r="AK16" i="11" s="1"/>
  <c r="AK18" i="11" s="1"/>
  <c r="AL11" i="11"/>
  <c r="AM7" i="11"/>
  <c r="AL17" i="14" l="1"/>
  <c r="AL18" i="14" s="1"/>
  <c r="AM1" i="14"/>
  <c r="AO2" i="14"/>
  <c r="AN13" i="14"/>
  <c r="AN11" i="14"/>
  <c r="AN12" i="14" s="1"/>
  <c r="AN16" i="14" s="1"/>
  <c r="AO7" i="14"/>
  <c r="AM14" i="14"/>
  <c r="AM15" i="14"/>
  <c r="AN12" i="12"/>
  <c r="AO10" i="12"/>
  <c r="AL15" i="12"/>
  <c r="AL16" i="12" s="1"/>
  <c r="AL14" i="12"/>
  <c r="AL17" i="12"/>
  <c r="AM1" i="12"/>
  <c r="AN11" i="12"/>
  <c r="AO7" i="12"/>
  <c r="AM13" i="12"/>
  <c r="AN2" i="12"/>
  <c r="AK18" i="12"/>
  <c r="AN2" i="11"/>
  <c r="AM13" i="11"/>
  <c r="AM14" i="11" s="1"/>
  <c r="AL15" i="11"/>
  <c r="AL16" i="11" s="1"/>
  <c r="AL18" i="11" s="1"/>
  <c r="AN7" i="11"/>
  <c r="AM11" i="11"/>
  <c r="AN15" i="14" l="1"/>
  <c r="AN14" i="14"/>
  <c r="AO13" i="14"/>
  <c r="AP2" i="14"/>
  <c r="AP7" i="14"/>
  <c r="AO11" i="14"/>
  <c r="AO12" i="14" s="1"/>
  <c r="AO16" i="14" s="1"/>
  <c r="AM17" i="14"/>
  <c r="AM18" i="14" s="1"/>
  <c r="AN1" i="14"/>
  <c r="AP10" i="12"/>
  <c r="AO12" i="12"/>
  <c r="AM14" i="12"/>
  <c r="AM15" i="12"/>
  <c r="AM16" i="12" s="1"/>
  <c r="AL18" i="12"/>
  <c r="AO2" i="12"/>
  <c r="AN13" i="12"/>
  <c r="AP7" i="12"/>
  <c r="AO11" i="12"/>
  <c r="AN1" i="12"/>
  <c r="AM17" i="12"/>
  <c r="AO2" i="11"/>
  <c r="AN13" i="11"/>
  <c r="AN14" i="11" s="1"/>
  <c r="AM15" i="11"/>
  <c r="AM16" i="11" s="1"/>
  <c r="AM18" i="11" s="1"/>
  <c r="AO7" i="11"/>
  <c r="AN11" i="11"/>
  <c r="AN17" i="14" l="1"/>
  <c r="AN18" i="14" s="1"/>
  <c r="AO1" i="14"/>
  <c r="AP13" i="14"/>
  <c r="AQ2" i="14"/>
  <c r="AO15" i="14"/>
  <c r="AO14" i="14"/>
  <c r="AQ7" i="14"/>
  <c r="AP11" i="14"/>
  <c r="AP12" i="14" s="1"/>
  <c r="AP16" i="14" s="1"/>
  <c r="AQ10" i="12"/>
  <c r="AP12" i="12"/>
  <c r="AQ7" i="12"/>
  <c r="AP11" i="12"/>
  <c r="AM18" i="12"/>
  <c r="AO1" i="12"/>
  <c r="AN17" i="12"/>
  <c r="AP2" i="12"/>
  <c r="AO13" i="12"/>
  <c r="AN15" i="12"/>
  <c r="AN16" i="12" s="1"/>
  <c r="AN14" i="12"/>
  <c r="AP2" i="11"/>
  <c r="AO13" i="11"/>
  <c r="AO14" i="11" s="1"/>
  <c r="AN15" i="11"/>
  <c r="AN16" i="11" s="1"/>
  <c r="AN18" i="11" s="1"/>
  <c r="AP7" i="11"/>
  <c r="AO11" i="11"/>
  <c r="AQ11" i="14" l="1"/>
  <c r="AQ12" i="14" s="1"/>
  <c r="AQ16" i="14" s="1"/>
  <c r="AR7" i="14"/>
  <c r="AQ13" i="14"/>
  <c r="AR2" i="14"/>
  <c r="AP14" i="14"/>
  <c r="AP15" i="14"/>
  <c r="AO17" i="14"/>
  <c r="AO18" i="14" s="1"/>
  <c r="AP1" i="14"/>
  <c r="AQ12" i="12"/>
  <c r="AR10" i="12"/>
  <c r="AO15" i="12"/>
  <c r="AO16" i="12" s="1"/>
  <c r="AO14" i="12"/>
  <c r="AO17" i="12"/>
  <c r="AP1" i="12"/>
  <c r="AP13" i="12"/>
  <c r="AQ2" i="12"/>
  <c r="AN18" i="12"/>
  <c r="AQ11" i="12"/>
  <c r="AR7" i="12"/>
  <c r="AQ2" i="11"/>
  <c r="AP13" i="11"/>
  <c r="AP14" i="11" s="1"/>
  <c r="AO15" i="11"/>
  <c r="AO16" i="11" s="1"/>
  <c r="AO18" i="11" s="1"/>
  <c r="AP11" i="11"/>
  <c r="AQ7" i="11"/>
  <c r="AQ14" i="14" l="1"/>
  <c r="AQ15" i="14"/>
  <c r="AP17" i="14"/>
  <c r="AP18" i="14" s="1"/>
  <c r="AQ1" i="14"/>
  <c r="AR13" i="14"/>
  <c r="AS2" i="14"/>
  <c r="AR11" i="14"/>
  <c r="AR12" i="14" s="1"/>
  <c r="AR16" i="14" s="1"/>
  <c r="AS7" i="14"/>
  <c r="AR12" i="12"/>
  <c r="AS10" i="12"/>
  <c r="AO18" i="12"/>
  <c r="AR11" i="12"/>
  <c r="AS7" i="12"/>
  <c r="AP17" i="12"/>
  <c r="AQ1" i="12"/>
  <c r="AQ13" i="12"/>
  <c r="AR2" i="12"/>
  <c r="AP14" i="12"/>
  <c r="AP15" i="12"/>
  <c r="AP16" i="12" s="1"/>
  <c r="AR2" i="11"/>
  <c r="AQ13" i="11"/>
  <c r="AQ14" i="11" s="1"/>
  <c r="AP15" i="11"/>
  <c r="AP16" i="11" s="1"/>
  <c r="AP18" i="11" s="1"/>
  <c r="AQ11" i="11"/>
  <c r="AR7" i="11"/>
  <c r="AT7" i="14" l="1"/>
  <c r="AT11" i="14" s="1"/>
  <c r="AT12" i="14" s="1"/>
  <c r="AT16" i="14" s="1"/>
  <c r="AS11" i="14"/>
  <c r="AS12" i="14" s="1"/>
  <c r="AS16" i="14" s="1"/>
  <c r="AQ17" i="14"/>
  <c r="AQ18" i="14" s="1"/>
  <c r="AR1" i="14"/>
  <c r="AS13" i="14"/>
  <c r="AT2" i="14"/>
  <c r="AT13" i="14" s="1"/>
  <c r="AR15" i="14"/>
  <c r="AR14" i="14"/>
  <c r="AT10" i="12"/>
  <c r="AT12" i="12" s="1"/>
  <c r="AS12" i="12"/>
  <c r="AQ17" i="12"/>
  <c r="AR1" i="12"/>
  <c r="AP18" i="12"/>
  <c r="AR13" i="12"/>
  <c r="AS2" i="12"/>
  <c r="AS11" i="12"/>
  <c r="AT7" i="12"/>
  <c r="AT11" i="12" s="1"/>
  <c r="AQ14" i="12"/>
  <c r="AQ15" i="12"/>
  <c r="AQ16" i="12" s="1"/>
  <c r="AS2" i="11"/>
  <c r="AR13" i="11"/>
  <c r="AR14" i="11" s="1"/>
  <c r="AQ15" i="11"/>
  <c r="AQ16" i="11" s="1"/>
  <c r="AQ18" i="11" s="1"/>
  <c r="AS7" i="11"/>
  <c r="AR11" i="11"/>
  <c r="AR17" i="14" l="1"/>
  <c r="AR18" i="14" s="1"/>
  <c r="AS1" i="14"/>
  <c r="AT14" i="14"/>
  <c r="AT15" i="14"/>
  <c r="AS15" i="14"/>
  <c r="AS14" i="14"/>
  <c r="AR15" i="12"/>
  <c r="AR16" i="12" s="1"/>
  <c r="AR14" i="12"/>
  <c r="AS1" i="12"/>
  <c r="AR17" i="12"/>
  <c r="AT2" i="12"/>
  <c r="AT13" i="12" s="1"/>
  <c r="AS13" i="12"/>
  <c r="AQ18" i="12"/>
  <c r="AT2" i="11"/>
  <c r="AT13" i="11" s="1"/>
  <c r="AT14" i="11" s="1"/>
  <c r="AS13" i="11"/>
  <c r="AS14" i="11" s="1"/>
  <c r="AT15" i="11" s="1"/>
  <c r="AT16" i="11" s="1"/>
  <c r="AT18" i="11" s="1"/>
  <c r="AR15" i="11"/>
  <c r="AR16" i="11" s="1"/>
  <c r="AR18" i="11" s="1"/>
  <c r="AS11" i="11"/>
  <c r="AT7" i="11"/>
  <c r="AT11" i="11" s="1"/>
  <c r="AS17" i="14" l="1"/>
  <c r="AS18" i="14" s="1"/>
  <c r="AT1" i="14"/>
  <c r="AT17" i="14" s="1"/>
  <c r="AT18" i="14" s="1"/>
  <c r="AR18" i="12"/>
  <c r="AS17" i="12"/>
  <c r="AT1" i="12"/>
  <c r="AT17" i="12" s="1"/>
  <c r="AS15" i="12"/>
  <c r="AS16" i="12" s="1"/>
  <c r="AS14" i="12"/>
  <c r="AT15" i="12"/>
  <c r="AT16" i="12" s="1"/>
  <c r="AT14" i="12"/>
  <c r="AS15" i="11"/>
  <c r="AS16" i="11" s="1"/>
  <c r="AS18" i="11" s="1"/>
  <c r="G20" i="14" l="1"/>
  <c r="AT18" i="12"/>
  <c r="AS18" i="12"/>
  <c r="G20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Roger</author>
  </authors>
  <commentList>
    <comment ref="C4" authorId="0" shapeId="0" xr:uid="{00000000-0006-0000-0100-000001000000}">
      <text>
        <r>
          <rPr>
            <sz val="9"/>
            <color indexed="81"/>
            <rFont val="Tahoma"/>
            <family val="2"/>
          </rPr>
          <t>Probability of dying within one year</t>
        </r>
      </text>
    </comment>
  </commentList>
</comments>
</file>

<file path=xl/sharedStrings.xml><?xml version="1.0" encoding="utf-8"?>
<sst xmlns="http://schemas.openxmlformats.org/spreadsheetml/2006/main" count="98" uniqueCount="45">
  <si>
    <t>Projected</t>
  </si>
  <si>
    <t>Salary Growth</t>
  </si>
  <si>
    <t>Life Insurance Calculation</t>
  </si>
  <si>
    <t>Benefit Flat Amount</t>
  </si>
  <si>
    <t>Benefit % of Salary</t>
  </si>
  <si>
    <t>Benefit as % of Salary</t>
  </si>
  <si>
    <t>Total Benefit</t>
  </si>
  <si>
    <r>
      <t>q</t>
    </r>
    <r>
      <rPr>
        <vertAlign val="subscript"/>
        <sz val="10"/>
        <color theme="1"/>
        <rFont val="Arial"/>
        <family val="2"/>
        <scheme val="minor"/>
      </rPr>
      <t>x</t>
    </r>
    <r>
      <rPr>
        <sz val="10"/>
        <color theme="1"/>
        <rFont val="Arial"/>
        <family val="2"/>
      </rPr>
      <t>: Probability of dying within one year</t>
    </r>
  </si>
  <si>
    <t>Period Life Table, 2013</t>
  </si>
  <si>
    <t>Exact</t>
  </si>
  <si>
    <t>age</t>
  </si>
  <si>
    <t>Male</t>
  </si>
  <si>
    <t>Female</t>
  </si>
  <si>
    <t>https://www.ssa.gov/oact/STATS/table4c6.html</t>
  </si>
  <si>
    <t>Death probability</t>
  </si>
  <si>
    <r>
      <t>p</t>
    </r>
    <r>
      <rPr>
        <vertAlign val="subscript"/>
        <sz val="10"/>
        <color theme="1"/>
        <rFont val="Arial"/>
        <family val="2"/>
        <scheme val="minor"/>
      </rPr>
      <t>x</t>
    </r>
    <r>
      <rPr>
        <sz val="10"/>
        <color theme="1"/>
        <rFont val="Arial"/>
        <family val="2"/>
      </rPr>
      <t>: Probability of surviving within one year</t>
    </r>
  </si>
  <si>
    <t>Present Value Factor</t>
  </si>
  <si>
    <t>Projection Year -&gt;</t>
  </si>
  <si>
    <t>Expected Benefit discounted back to Present Value</t>
  </si>
  <si>
    <t>Life Insurance Premium Required</t>
  </si>
  <si>
    <t>Choose</t>
  </si>
  <si>
    <t>Actuarial Assumptions:</t>
  </si>
  <si>
    <t>Present Value Interest Rate</t>
  </si>
  <si>
    <t>Probability of surviving up to beginning of projection year then dying within one year</t>
  </si>
  <si>
    <t>Expected Benefit if died in projection year</t>
  </si>
  <si>
    <t>Source: Social Security Administration Actuarial Life Table</t>
  </si>
  <si>
    <t>Salary Information</t>
  </si>
  <si>
    <t>NEU's Age -&gt;</t>
  </si>
  <si>
    <t>Lookup values against "Mortality Table" tab</t>
  </si>
  <si>
    <t>Salary (NEU) / Gender: M</t>
  </si>
  <si>
    <t>Task 3: Design a product with $1000 premium</t>
  </si>
  <si>
    <t>Sử dụng solver với constrain premium = $1000 để thay đổi flat benefit amount, ta có flat amount mới = $18142</t>
  </si>
  <si>
    <t>Total Benefit (flat)</t>
  </si>
  <si>
    <t>Total Benefit (%)</t>
  </si>
  <si>
    <t>Option A: Flat Benefit Plan at $1,000 premium</t>
  </si>
  <si>
    <t>Required Flat Benefit Amount:</t>
  </si>
  <si>
    <t>Option B: % of Salary Plan at $1,000 premium</t>
  </si>
  <si>
    <t>Required % of Salary:</t>
  </si>
  <si>
    <t>In dollar terms at age 27 salary:</t>
  </si>
  <si>
    <t>RECOMMENDATION:</t>
  </si>
  <si>
    <t>NEU should choose the % of Salary plan at ~5.96% of salary (~$7,151 benefit at age 27).</t>
  </si>
  <si>
    <t>This gives him a benefit that grows with his salary (inflation protection),</t>
  </si>
  <si>
    <t>In dollar terms at age 65 salary:</t>
  </si>
  <si>
    <t>whereas the flat plan would only pay $18,142.</t>
  </si>
  <si>
    <t>Sử dụng solver với constrain premium = $1000 để thay đổi % salary, ta có % mới = 5.96%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</si>
</sst>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&quot;$&quot;* #,##0.0_);_(&quot;$&quot;* \(#,##0.0\);_(&quot;$&quot;* &quot;-&quot;??_);_(@_)"/>
    <numFmt numFmtId="167" formatCode="_(* #,##0.0_);_(* \(#,##0.0\);_(* &quot;-&quot;??_);_(@_)"/>
    <numFmt numFmtId="168" formatCode="0.0%"/>
    <numFmt numFmtId="169" formatCode="_(&quot;$&quot;* #,##0_);_(&quot;$&quot;* \(#,##0\);_(&quot;$&quot;* &quot;-&quot;??_);_(@_)"/>
    <numFmt numFmtId="171" formatCode="_(* #,##0.000000_);_(* \(#,##0.000000\);_(* &quot;-&quot;??_);_(@_)"/>
    <numFmt numFmtId="173" formatCode="_-[$$-409]* #,##0.00_ ;_-[$$-409]* \-#,##0.00\ ;_-[$$-409]* &quot;-&quot;??_ ;_-@_ "/>
    <numFmt numFmtId="178" formatCode="_(* #,##0.000_);_(* \(#,##0.000\);_(* &quot;-&quot;??_);_(@_)"/>
    <numFmt numFmtId="187" formatCode="\$#,##0.00"/>
  </numFmts>
  <fonts count="2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u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name val="Arial"/>
      <family val="2"/>
    </font>
    <font>
      <b/>
      <sz val="11"/>
      <color theme="1"/>
      <name val="Arial"/>
      <family val="2"/>
      <scheme val="minor"/>
    </font>
    <font>
      <vertAlign val="subscript"/>
      <sz val="10"/>
      <color theme="1"/>
      <name val="Arial"/>
      <family val="2"/>
      <scheme val="minor"/>
    </font>
    <font>
      <sz val="14"/>
      <color rgb="FF212121"/>
      <name val="Segoe UI"/>
      <family val="2"/>
    </font>
    <font>
      <sz val="10"/>
      <color rgb="FF00B050"/>
      <name val="Arial"/>
      <family val="2"/>
    </font>
    <font>
      <sz val="9"/>
      <color indexed="81"/>
      <name val="Tahoma"/>
      <family val="2"/>
    </font>
    <font>
      <u/>
      <sz val="11"/>
      <color theme="10"/>
      <name val="Arial"/>
      <family val="2"/>
      <scheme val="minor"/>
    </font>
    <font>
      <b/>
      <u/>
      <sz val="10"/>
      <color theme="1"/>
      <name val="Arial"/>
      <family val="2"/>
      <charset val="163"/>
    </font>
    <font>
      <sz val="11"/>
      <color theme="1"/>
      <name val="Calibri"/>
      <family val="2"/>
      <charset val="1"/>
    </font>
    <font>
      <b/>
      <sz val="1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0"/>
      <color theme="1"/>
      <name val="Arial"/>
      <family val="2"/>
      <charset val="163"/>
      <scheme val="minor"/>
    </font>
    <font>
      <sz val="11"/>
      <color rgb="FF000000"/>
      <name val="Arial"/>
      <family val="2"/>
      <charset val="163"/>
      <scheme val="minor"/>
    </font>
    <font>
      <sz val="11"/>
      <name val="Arial"/>
      <family val="2"/>
      <charset val="163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33366"/>
        <bgColor indexed="64"/>
      </patternFill>
    </fill>
    <fill>
      <patternFill patternType="solid">
        <fgColor rgb="FFEEEFE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8" fillId="0" borderId="0"/>
  </cellStyleXfs>
  <cellXfs count="4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6" fontId="8" fillId="0" borderId="0" xfId="2" applyNumberFormat="1" applyFont="1"/>
    <xf numFmtId="166" fontId="3" fillId="0" borderId="0" xfId="2" applyNumberFormat="1" applyFont="1"/>
    <xf numFmtId="167" fontId="7" fillId="0" borderId="0" xfId="1" applyNumberFormat="1" applyFont="1"/>
    <xf numFmtId="0" fontId="3" fillId="2" borderId="1" xfId="0" applyFont="1" applyFill="1" applyBorder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/>
    <xf numFmtId="166" fontId="7" fillId="0" borderId="0" xfId="2" applyNumberFormat="1" applyFont="1"/>
    <xf numFmtId="0" fontId="8" fillId="0" borderId="0" xfId="0" applyFont="1"/>
    <xf numFmtId="0" fontId="3" fillId="0" borderId="0" xfId="0" applyFont="1" applyAlignment="1">
      <alignment horizontal="right"/>
    </xf>
    <xf numFmtId="9" fontId="3" fillId="0" borderId="0" xfId="0" applyNumberFormat="1" applyFont="1"/>
    <xf numFmtId="168" fontId="3" fillId="0" borderId="0" xfId="0" applyNumberFormat="1" applyFont="1"/>
    <xf numFmtId="9" fontId="8" fillId="0" borderId="0" xfId="0" applyNumberFormat="1" applyFont="1"/>
    <xf numFmtId="168" fontId="8" fillId="0" borderId="0" xfId="0" applyNumberFormat="1" applyFont="1"/>
    <xf numFmtId="168" fontId="7" fillId="0" borderId="0" xfId="0" applyNumberFormat="1" applyFont="1"/>
    <xf numFmtId="169" fontId="8" fillId="0" borderId="0" xfId="2" applyNumberFormat="1" applyFont="1"/>
    <xf numFmtId="169" fontId="3" fillId="0" borderId="0" xfId="0" applyNumberFormat="1" applyFont="1"/>
    <xf numFmtId="0" fontId="3" fillId="3" borderId="0" xfId="0" applyFont="1" applyFill="1"/>
    <xf numFmtId="0" fontId="13" fillId="5" borderId="0" xfId="0" applyFont="1" applyFill="1" applyAlignment="1">
      <alignment vertical="center" wrapText="1"/>
    </xf>
    <xf numFmtId="0" fontId="0" fillId="4" borderId="0" xfId="0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right" vertical="center" wrapText="1"/>
    </xf>
    <xf numFmtId="0" fontId="11" fillId="4" borderId="0" xfId="0" applyFont="1" applyFill="1" applyAlignment="1">
      <alignment horizontal="right" vertical="center" wrapText="1"/>
    </xf>
    <xf numFmtId="0" fontId="0" fillId="6" borderId="0" xfId="0" applyFill="1" applyAlignment="1">
      <alignment horizontal="center" vertical="center" wrapText="1"/>
    </xf>
    <xf numFmtId="0" fontId="0" fillId="6" borderId="0" xfId="0" applyFill="1" applyAlignment="1">
      <alignment horizontal="right" vertical="center" wrapText="1"/>
    </xf>
    <xf numFmtId="171" fontId="7" fillId="0" borderId="0" xfId="1" applyNumberFormat="1" applyFont="1"/>
    <xf numFmtId="164" fontId="2" fillId="7" borderId="0" xfId="2" applyFont="1" applyFill="1"/>
    <xf numFmtId="171" fontId="14" fillId="0" borderId="0" xfId="1" applyNumberFormat="1" applyFont="1"/>
    <xf numFmtId="168" fontId="8" fillId="8" borderId="0" xfId="0" applyNumberFormat="1" applyFont="1" applyFill="1"/>
    <xf numFmtId="0" fontId="11" fillId="4" borderId="0" xfId="0" applyFont="1" applyFill="1" applyAlignment="1">
      <alignment horizontal="left" vertical="center"/>
    </xf>
    <xf numFmtId="173" fontId="7" fillId="0" borderId="0" xfId="1" applyNumberFormat="1" applyFont="1"/>
    <xf numFmtId="178" fontId="7" fillId="0" borderId="0" xfId="1" applyNumberFormat="1" applyFont="1"/>
    <xf numFmtId="0" fontId="16" fillId="0" borderId="0" xfId="3"/>
    <xf numFmtId="0" fontId="17" fillId="0" borderId="0" xfId="0" applyFont="1"/>
    <xf numFmtId="10" fontId="8" fillId="0" borderId="0" xfId="0" applyNumberFormat="1" applyFont="1"/>
    <xf numFmtId="0" fontId="19" fillId="0" borderId="0" xfId="4" applyFont="1"/>
    <xf numFmtId="0" fontId="20" fillId="0" borderId="0" xfId="4" applyFont="1"/>
    <xf numFmtId="0" fontId="20" fillId="0" borderId="0" xfId="0" applyFont="1"/>
    <xf numFmtId="0" fontId="21" fillId="0" borderId="0" xfId="4" applyFont="1"/>
    <xf numFmtId="187" fontId="22" fillId="0" borderId="0" xfId="4" applyNumberFormat="1" applyFont="1"/>
    <xf numFmtId="10" fontId="22" fillId="0" borderId="0" xfId="4" applyNumberFormat="1" applyFont="1"/>
    <xf numFmtId="0" fontId="23" fillId="0" borderId="0" xfId="4" applyFont="1"/>
    <xf numFmtId="173" fontId="20" fillId="0" borderId="0" xfId="0" applyNumberFormat="1" applyFont="1"/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Normal 2" xfId="4" xr:uid="{E3BEC1CA-F896-41F0-8650-ADF6336A5893}"/>
  </cellStyles>
  <dxfs count="0"/>
  <tableStyles count="0" defaultTableStyle="TableStyleMedium2" defaultPivotStyle="PivotStyleLight16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ssa.gov/oact/STATS/table4c6.html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30CC8-B1F9-4743-BC6C-10A9A7BF117A}">
  <dimension ref="A1:AT32"/>
  <sheetViews>
    <sheetView tabSelected="1" zoomScaleNormal="100" workbookViewId="0">
      <selection activeCell="E24" sqref="E24"/>
    </sheetView>
  </sheetViews>
  <sheetFormatPr defaultColWidth="9.1640625" defaultRowHeight="12.5" x14ac:dyDescent="0.25"/>
  <cols>
    <col min="1" max="1" width="9.1640625" style="2"/>
    <col min="2" max="2" width="4" style="2" customWidth="1"/>
    <col min="3" max="4" width="9.1640625" style="2"/>
    <col min="5" max="5" width="12.83203125" style="2" bestFit="1" customWidth="1"/>
    <col min="6" max="6" width="9.1640625" style="2"/>
    <col min="7" max="7" width="26.5" style="2" customWidth="1"/>
    <col min="8" max="8" width="15.5" style="2" bestFit="1" customWidth="1"/>
    <col min="9" max="25" width="12.25" style="2" bestFit="1" customWidth="1"/>
    <col min="26" max="46" width="14" style="2" bestFit="1" customWidth="1"/>
    <col min="47" max="16384" width="9.1640625" style="2"/>
  </cols>
  <sheetData>
    <row r="1" spans="1:46" x14ac:dyDescent="0.25">
      <c r="G1" s="15" t="s">
        <v>17</v>
      </c>
      <c r="H1" s="2">
        <v>1</v>
      </c>
      <c r="I1" s="2">
        <f>H1+1</f>
        <v>2</v>
      </c>
      <c r="J1" s="2">
        <f t="shared" ref="J1:AT1" si="0">I1+1</f>
        <v>3</v>
      </c>
      <c r="K1" s="2">
        <f t="shared" si="0"/>
        <v>4</v>
      </c>
      <c r="L1" s="2">
        <f t="shared" si="0"/>
        <v>5</v>
      </c>
      <c r="M1" s="2">
        <f t="shared" si="0"/>
        <v>6</v>
      </c>
      <c r="N1" s="2">
        <f t="shared" si="0"/>
        <v>7</v>
      </c>
      <c r="O1" s="2">
        <f t="shared" si="0"/>
        <v>8</v>
      </c>
      <c r="P1" s="2">
        <f t="shared" si="0"/>
        <v>9</v>
      </c>
      <c r="Q1" s="2">
        <f t="shared" si="0"/>
        <v>10</v>
      </c>
      <c r="R1" s="2">
        <f t="shared" si="0"/>
        <v>11</v>
      </c>
      <c r="S1" s="2">
        <f t="shared" si="0"/>
        <v>12</v>
      </c>
      <c r="T1" s="2">
        <f t="shared" si="0"/>
        <v>13</v>
      </c>
      <c r="U1" s="2">
        <f t="shared" si="0"/>
        <v>14</v>
      </c>
      <c r="V1" s="2">
        <f t="shared" si="0"/>
        <v>15</v>
      </c>
      <c r="W1" s="2">
        <f t="shared" si="0"/>
        <v>16</v>
      </c>
      <c r="X1" s="2">
        <f t="shared" si="0"/>
        <v>17</v>
      </c>
      <c r="Y1" s="2">
        <f t="shared" si="0"/>
        <v>18</v>
      </c>
      <c r="Z1" s="2">
        <f t="shared" si="0"/>
        <v>19</v>
      </c>
      <c r="AA1" s="2">
        <f t="shared" si="0"/>
        <v>20</v>
      </c>
      <c r="AB1" s="2">
        <f t="shared" si="0"/>
        <v>21</v>
      </c>
      <c r="AC1" s="2">
        <f t="shared" si="0"/>
        <v>22</v>
      </c>
      <c r="AD1" s="2">
        <f t="shared" si="0"/>
        <v>23</v>
      </c>
      <c r="AE1" s="2">
        <f t="shared" si="0"/>
        <v>24</v>
      </c>
      <c r="AF1" s="2">
        <f t="shared" si="0"/>
        <v>25</v>
      </c>
      <c r="AG1" s="2">
        <f t="shared" si="0"/>
        <v>26</v>
      </c>
      <c r="AH1" s="2">
        <f t="shared" si="0"/>
        <v>27</v>
      </c>
      <c r="AI1" s="2">
        <f t="shared" si="0"/>
        <v>28</v>
      </c>
      <c r="AJ1" s="2">
        <f t="shared" si="0"/>
        <v>29</v>
      </c>
      <c r="AK1" s="2">
        <f t="shared" si="0"/>
        <v>30</v>
      </c>
      <c r="AL1" s="2">
        <f t="shared" si="0"/>
        <v>31</v>
      </c>
      <c r="AM1" s="2">
        <f t="shared" si="0"/>
        <v>32</v>
      </c>
      <c r="AN1" s="2">
        <f t="shared" si="0"/>
        <v>33</v>
      </c>
      <c r="AO1" s="2">
        <f t="shared" si="0"/>
        <v>34</v>
      </c>
      <c r="AP1" s="2">
        <f t="shared" si="0"/>
        <v>35</v>
      </c>
      <c r="AQ1" s="2">
        <f t="shared" si="0"/>
        <v>36</v>
      </c>
      <c r="AR1" s="2">
        <f t="shared" si="0"/>
        <v>37</v>
      </c>
      <c r="AS1" s="2">
        <f t="shared" si="0"/>
        <v>38</v>
      </c>
      <c r="AT1" s="2">
        <f t="shared" si="0"/>
        <v>39</v>
      </c>
    </row>
    <row r="2" spans="1:46" ht="13" x14ac:dyDescent="0.3">
      <c r="A2" s="5"/>
      <c r="G2" s="15" t="s">
        <v>27</v>
      </c>
      <c r="H2" s="14">
        <v>27</v>
      </c>
      <c r="I2" s="2">
        <f t="shared" ref="I2:AT2" si="1">H2+1</f>
        <v>28</v>
      </c>
      <c r="J2" s="2">
        <f t="shared" si="1"/>
        <v>29</v>
      </c>
      <c r="K2" s="2">
        <f t="shared" si="1"/>
        <v>30</v>
      </c>
      <c r="L2" s="2">
        <f t="shared" si="1"/>
        <v>31</v>
      </c>
      <c r="M2" s="2">
        <f t="shared" si="1"/>
        <v>32</v>
      </c>
      <c r="N2" s="2">
        <f t="shared" si="1"/>
        <v>33</v>
      </c>
      <c r="O2" s="2">
        <f t="shared" si="1"/>
        <v>34</v>
      </c>
      <c r="P2" s="2">
        <f t="shared" si="1"/>
        <v>35</v>
      </c>
      <c r="Q2" s="2">
        <f t="shared" si="1"/>
        <v>36</v>
      </c>
      <c r="R2" s="2">
        <f t="shared" si="1"/>
        <v>37</v>
      </c>
      <c r="S2" s="2">
        <f t="shared" si="1"/>
        <v>38</v>
      </c>
      <c r="T2" s="2">
        <f t="shared" si="1"/>
        <v>39</v>
      </c>
      <c r="U2" s="2">
        <f t="shared" si="1"/>
        <v>40</v>
      </c>
      <c r="V2" s="2">
        <f t="shared" si="1"/>
        <v>41</v>
      </c>
      <c r="W2" s="2">
        <f t="shared" si="1"/>
        <v>42</v>
      </c>
      <c r="X2" s="2">
        <f t="shared" si="1"/>
        <v>43</v>
      </c>
      <c r="Y2" s="2">
        <f t="shared" si="1"/>
        <v>44</v>
      </c>
      <c r="Z2" s="2">
        <f t="shared" si="1"/>
        <v>45</v>
      </c>
      <c r="AA2" s="2">
        <f t="shared" si="1"/>
        <v>46</v>
      </c>
      <c r="AB2" s="2">
        <f t="shared" si="1"/>
        <v>47</v>
      </c>
      <c r="AC2" s="2">
        <f t="shared" si="1"/>
        <v>48</v>
      </c>
      <c r="AD2" s="2">
        <f t="shared" si="1"/>
        <v>49</v>
      </c>
      <c r="AE2" s="2">
        <f t="shared" si="1"/>
        <v>50</v>
      </c>
      <c r="AF2" s="2">
        <f t="shared" si="1"/>
        <v>51</v>
      </c>
      <c r="AG2" s="2">
        <f t="shared" si="1"/>
        <v>52</v>
      </c>
      <c r="AH2" s="2">
        <f t="shared" si="1"/>
        <v>53</v>
      </c>
      <c r="AI2" s="2">
        <f t="shared" si="1"/>
        <v>54</v>
      </c>
      <c r="AJ2" s="2">
        <f t="shared" si="1"/>
        <v>55</v>
      </c>
      <c r="AK2" s="2">
        <f t="shared" si="1"/>
        <v>56</v>
      </c>
      <c r="AL2" s="2">
        <f t="shared" si="1"/>
        <v>57</v>
      </c>
      <c r="AM2" s="2">
        <f t="shared" si="1"/>
        <v>58</v>
      </c>
      <c r="AN2" s="2">
        <f t="shared" si="1"/>
        <v>59</v>
      </c>
      <c r="AO2" s="2">
        <f t="shared" si="1"/>
        <v>60</v>
      </c>
      <c r="AP2" s="2">
        <f t="shared" si="1"/>
        <v>61</v>
      </c>
      <c r="AQ2" s="2">
        <f t="shared" si="1"/>
        <v>62</v>
      </c>
      <c r="AR2" s="2">
        <f t="shared" si="1"/>
        <v>63</v>
      </c>
      <c r="AS2" s="2">
        <f t="shared" si="1"/>
        <v>64</v>
      </c>
      <c r="AT2" s="2">
        <f t="shared" si="1"/>
        <v>65</v>
      </c>
    </row>
    <row r="3" spans="1:46" x14ac:dyDescent="0.25">
      <c r="H3" s="9"/>
      <c r="I3" s="9" t="s">
        <v>0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</row>
    <row r="4" spans="1:46" x14ac:dyDescent="0.25">
      <c r="H4" s="10">
        <v>2017</v>
      </c>
      <c r="I4" s="11">
        <f>H4+1</f>
        <v>2018</v>
      </c>
      <c r="J4" s="11">
        <f t="shared" ref="J4:AT4" si="2">I4+1</f>
        <v>2019</v>
      </c>
      <c r="K4" s="11">
        <f t="shared" si="2"/>
        <v>2020</v>
      </c>
      <c r="L4" s="11">
        <f t="shared" si="2"/>
        <v>2021</v>
      </c>
      <c r="M4" s="11">
        <f t="shared" si="2"/>
        <v>2022</v>
      </c>
      <c r="N4" s="11">
        <f t="shared" si="2"/>
        <v>2023</v>
      </c>
      <c r="O4" s="11">
        <f t="shared" si="2"/>
        <v>2024</v>
      </c>
      <c r="P4" s="11">
        <f t="shared" si="2"/>
        <v>2025</v>
      </c>
      <c r="Q4" s="11">
        <f t="shared" si="2"/>
        <v>2026</v>
      </c>
      <c r="R4" s="11">
        <f t="shared" si="2"/>
        <v>2027</v>
      </c>
      <c r="S4" s="11">
        <f t="shared" si="2"/>
        <v>2028</v>
      </c>
      <c r="T4" s="11">
        <f t="shared" si="2"/>
        <v>2029</v>
      </c>
      <c r="U4" s="11">
        <f t="shared" si="2"/>
        <v>2030</v>
      </c>
      <c r="V4" s="11">
        <f t="shared" si="2"/>
        <v>2031</v>
      </c>
      <c r="W4" s="11">
        <f t="shared" si="2"/>
        <v>2032</v>
      </c>
      <c r="X4" s="11">
        <f t="shared" si="2"/>
        <v>2033</v>
      </c>
      <c r="Y4" s="11">
        <f t="shared" si="2"/>
        <v>2034</v>
      </c>
      <c r="Z4" s="11">
        <f t="shared" si="2"/>
        <v>2035</v>
      </c>
      <c r="AA4" s="11">
        <f t="shared" si="2"/>
        <v>2036</v>
      </c>
      <c r="AB4" s="11">
        <f t="shared" si="2"/>
        <v>2037</v>
      </c>
      <c r="AC4" s="11">
        <f t="shared" si="2"/>
        <v>2038</v>
      </c>
      <c r="AD4" s="11">
        <f t="shared" si="2"/>
        <v>2039</v>
      </c>
      <c r="AE4" s="11">
        <f t="shared" si="2"/>
        <v>2040</v>
      </c>
      <c r="AF4" s="11">
        <f t="shared" si="2"/>
        <v>2041</v>
      </c>
      <c r="AG4" s="11">
        <f t="shared" si="2"/>
        <v>2042</v>
      </c>
      <c r="AH4" s="11">
        <f t="shared" si="2"/>
        <v>2043</v>
      </c>
      <c r="AI4" s="11">
        <f t="shared" si="2"/>
        <v>2044</v>
      </c>
      <c r="AJ4" s="11">
        <f t="shared" si="2"/>
        <v>2045</v>
      </c>
      <c r="AK4" s="11">
        <f t="shared" si="2"/>
        <v>2046</v>
      </c>
      <c r="AL4" s="11">
        <f t="shared" si="2"/>
        <v>2047</v>
      </c>
      <c r="AM4" s="11">
        <f t="shared" si="2"/>
        <v>2048</v>
      </c>
      <c r="AN4" s="11">
        <f t="shared" si="2"/>
        <v>2049</v>
      </c>
      <c r="AO4" s="11">
        <f t="shared" si="2"/>
        <v>2050</v>
      </c>
      <c r="AP4" s="11">
        <f t="shared" si="2"/>
        <v>2051</v>
      </c>
      <c r="AQ4" s="11">
        <f t="shared" si="2"/>
        <v>2052</v>
      </c>
      <c r="AR4" s="11">
        <f t="shared" si="2"/>
        <v>2053</v>
      </c>
      <c r="AS4" s="11">
        <f t="shared" si="2"/>
        <v>2054</v>
      </c>
      <c r="AT4" s="11">
        <f t="shared" si="2"/>
        <v>2055</v>
      </c>
    </row>
    <row r="5" spans="1:46" x14ac:dyDescent="0.25"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</row>
    <row r="6" spans="1:46" ht="13" x14ac:dyDescent="0.3">
      <c r="B6" s="3" t="s">
        <v>26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</row>
    <row r="7" spans="1:46" x14ac:dyDescent="0.25">
      <c r="B7" s="2" t="s">
        <v>29</v>
      </c>
      <c r="H7" s="6">
        <v>120000</v>
      </c>
      <c r="I7" s="13">
        <f>H7*(1+$I$25)</f>
        <v>124800</v>
      </c>
      <c r="J7" s="13">
        <f>I7*(1+$I$25)</f>
        <v>129792</v>
      </c>
      <c r="K7" s="13">
        <f t="shared" ref="K7:AT7" si="3">J7*(1+$I$25)</f>
        <v>134983.67999999999</v>
      </c>
      <c r="L7" s="13">
        <f t="shared" si="3"/>
        <v>140383.02720000001</v>
      </c>
      <c r="M7" s="13">
        <f t="shared" si="3"/>
        <v>145998.34828800001</v>
      </c>
      <c r="N7" s="13">
        <f t="shared" si="3"/>
        <v>151838.28221952001</v>
      </c>
      <c r="O7" s="13">
        <f t="shared" si="3"/>
        <v>157911.81350830081</v>
      </c>
      <c r="P7" s="13">
        <f t="shared" si="3"/>
        <v>164228.28604863284</v>
      </c>
      <c r="Q7" s="13">
        <f t="shared" si="3"/>
        <v>170797.41749057817</v>
      </c>
      <c r="R7" s="13">
        <f t="shared" si="3"/>
        <v>177629.31419020132</v>
      </c>
      <c r="S7" s="13">
        <f t="shared" si="3"/>
        <v>184734.48675780938</v>
      </c>
      <c r="T7" s="13">
        <f t="shared" si="3"/>
        <v>192123.86622812177</v>
      </c>
      <c r="U7" s="13">
        <f t="shared" si="3"/>
        <v>199808.82087724665</v>
      </c>
      <c r="V7" s="13">
        <f t="shared" si="3"/>
        <v>207801.17371233652</v>
      </c>
      <c r="W7" s="13">
        <f t="shared" si="3"/>
        <v>216113.22066082997</v>
      </c>
      <c r="X7" s="13">
        <f t="shared" si="3"/>
        <v>224757.74948726318</v>
      </c>
      <c r="Y7" s="13">
        <f t="shared" si="3"/>
        <v>233748.05946675371</v>
      </c>
      <c r="Z7" s="13">
        <f t="shared" si="3"/>
        <v>243097.98184542387</v>
      </c>
      <c r="AA7" s="13">
        <f t="shared" si="3"/>
        <v>252821.90111924082</v>
      </c>
      <c r="AB7" s="13">
        <f t="shared" si="3"/>
        <v>262934.77716401045</v>
      </c>
      <c r="AC7" s="13">
        <f t="shared" si="3"/>
        <v>273452.16825057089</v>
      </c>
      <c r="AD7" s="13">
        <f t="shared" si="3"/>
        <v>284390.25498059375</v>
      </c>
      <c r="AE7" s="13">
        <f t="shared" si="3"/>
        <v>295765.86517981748</v>
      </c>
      <c r="AF7" s="13">
        <f t="shared" si="3"/>
        <v>307596.49978701019</v>
      </c>
      <c r="AG7" s="13">
        <f t="shared" si="3"/>
        <v>319900.35977849062</v>
      </c>
      <c r="AH7" s="13">
        <f t="shared" si="3"/>
        <v>332696.37416963023</v>
      </c>
      <c r="AI7" s="13">
        <f t="shared" si="3"/>
        <v>346004.22913641547</v>
      </c>
      <c r="AJ7" s="13">
        <f t="shared" si="3"/>
        <v>359844.39830187208</v>
      </c>
      <c r="AK7" s="13">
        <f t="shared" si="3"/>
        <v>374238.17423394695</v>
      </c>
      <c r="AL7" s="13">
        <f t="shared" si="3"/>
        <v>389207.70120330487</v>
      </c>
      <c r="AM7" s="13">
        <f t="shared" si="3"/>
        <v>404776.00925143709</v>
      </c>
      <c r="AN7" s="13">
        <f t="shared" si="3"/>
        <v>420967.0496214946</v>
      </c>
      <c r="AO7" s="13">
        <f t="shared" si="3"/>
        <v>437805.73160635441</v>
      </c>
      <c r="AP7" s="13">
        <f t="shared" si="3"/>
        <v>455317.96087060863</v>
      </c>
      <c r="AQ7" s="13">
        <f t="shared" si="3"/>
        <v>473530.679305433</v>
      </c>
      <c r="AR7" s="13">
        <f t="shared" si="3"/>
        <v>492471.90647765034</v>
      </c>
      <c r="AS7" s="13">
        <f t="shared" si="3"/>
        <v>512170.78273675637</v>
      </c>
      <c r="AT7" s="13">
        <f t="shared" si="3"/>
        <v>532657.6140462266</v>
      </c>
    </row>
    <row r="8" spans="1:46" x14ac:dyDescent="0.25"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</row>
    <row r="9" spans="1:46" ht="13" x14ac:dyDescent="0.3">
      <c r="B9" s="3" t="s">
        <v>2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</row>
    <row r="10" spans="1:46" x14ac:dyDescent="0.25">
      <c r="B10" s="2" t="s">
        <v>3</v>
      </c>
      <c r="H10" s="36">
        <v>60000</v>
      </c>
      <c r="I10" s="36">
        <v>60000</v>
      </c>
      <c r="J10" s="36">
        <v>60000</v>
      </c>
      <c r="K10" s="36">
        <v>60000</v>
      </c>
      <c r="L10" s="36">
        <v>60000</v>
      </c>
      <c r="M10" s="36">
        <v>60000</v>
      </c>
      <c r="N10" s="36">
        <v>60000</v>
      </c>
      <c r="O10" s="36">
        <v>60000</v>
      </c>
      <c r="P10" s="36">
        <v>60000</v>
      </c>
      <c r="Q10" s="36">
        <v>60000</v>
      </c>
      <c r="R10" s="36">
        <v>60000</v>
      </c>
      <c r="S10" s="36">
        <v>60000</v>
      </c>
      <c r="T10" s="36">
        <v>60000</v>
      </c>
      <c r="U10" s="36">
        <v>60000</v>
      </c>
      <c r="V10" s="36">
        <v>60000</v>
      </c>
      <c r="W10" s="36">
        <v>60000</v>
      </c>
      <c r="X10" s="36">
        <v>60000</v>
      </c>
      <c r="Y10" s="36">
        <v>60000</v>
      </c>
      <c r="Z10" s="36">
        <v>60000</v>
      </c>
      <c r="AA10" s="36">
        <v>60000</v>
      </c>
      <c r="AB10" s="36">
        <v>60000</v>
      </c>
      <c r="AC10" s="36">
        <v>60000</v>
      </c>
      <c r="AD10" s="36">
        <v>60000</v>
      </c>
      <c r="AE10" s="36">
        <v>60000</v>
      </c>
      <c r="AF10" s="36">
        <v>60000</v>
      </c>
      <c r="AG10" s="36">
        <v>60000</v>
      </c>
      <c r="AH10" s="36">
        <v>60000</v>
      </c>
      <c r="AI10" s="36">
        <v>60000</v>
      </c>
      <c r="AJ10" s="36">
        <v>60000</v>
      </c>
      <c r="AK10" s="36">
        <v>60000</v>
      </c>
      <c r="AL10" s="36">
        <v>60000</v>
      </c>
      <c r="AM10" s="36">
        <v>60000</v>
      </c>
      <c r="AN10" s="36">
        <v>60000</v>
      </c>
      <c r="AO10" s="36">
        <v>60000</v>
      </c>
      <c r="AP10" s="36">
        <v>60000</v>
      </c>
      <c r="AQ10" s="36">
        <v>60000</v>
      </c>
      <c r="AR10" s="36">
        <v>60000</v>
      </c>
      <c r="AS10" s="36">
        <v>60000</v>
      </c>
      <c r="AT10" s="36">
        <v>60000</v>
      </c>
    </row>
    <row r="11" spans="1:46" x14ac:dyDescent="0.25">
      <c r="B11" s="2" t="s">
        <v>5</v>
      </c>
      <c r="H11" s="36">
        <f>H7*$H$27</f>
        <v>180000</v>
      </c>
      <c r="I11" s="36">
        <f t="shared" ref="I11:AT11" si="4">I7*$H$27</f>
        <v>187200</v>
      </c>
      <c r="J11" s="36">
        <f t="shared" si="4"/>
        <v>194688</v>
      </c>
      <c r="K11" s="36">
        <f t="shared" si="4"/>
        <v>202475.51999999999</v>
      </c>
      <c r="L11" s="36">
        <f t="shared" si="4"/>
        <v>210574.54080000002</v>
      </c>
      <c r="M11" s="36">
        <f t="shared" si="4"/>
        <v>218997.52243200003</v>
      </c>
      <c r="N11" s="36">
        <f t="shared" si="4"/>
        <v>227757.42332928002</v>
      </c>
      <c r="O11" s="36">
        <f t="shared" si="4"/>
        <v>236867.72026245121</v>
      </c>
      <c r="P11" s="36">
        <f t="shared" si="4"/>
        <v>246342.42907294928</v>
      </c>
      <c r="Q11" s="36">
        <f t="shared" si="4"/>
        <v>256196.12623586727</v>
      </c>
      <c r="R11" s="36">
        <f t="shared" si="4"/>
        <v>266443.97128530196</v>
      </c>
      <c r="S11" s="36">
        <f t="shared" si="4"/>
        <v>277101.73013671406</v>
      </c>
      <c r="T11" s="36">
        <f t="shared" si="4"/>
        <v>288185.79934218264</v>
      </c>
      <c r="U11" s="36">
        <f t="shared" si="4"/>
        <v>299713.23131586995</v>
      </c>
      <c r="V11" s="36">
        <f t="shared" si="4"/>
        <v>311701.7605685048</v>
      </c>
      <c r="W11" s="36">
        <f t="shared" si="4"/>
        <v>324169.83099124499</v>
      </c>
      <c r="X11" s="36">
        <f t="shared" si="4"/>
        <v>337136.62423089478</v>
      </c>
      <c r="Y11" s="36">
        <f t="shared" si="4"/>
        <v>350622.08920013055</v>
      </c>
      <c r="Z11" s="36">
        <f t="shared" si="4"/>
        <v>364646.97276813583</v>
      </c>
      <c r="AA11" s="36">
        <f t="shared" si="4"/>
        <v>379232.85167886125</v>
      </c>
      <c r="AB11" s="36">
        <f t="shared" si="4"/>
        <v>394402.16574601567</v>
      </c>
      <c r="AC11" s="36">
        <f t="shared" si="4"/>
        <v>410178.25237585633</v>
      </c>
      <c r="AD11" s="36">
        <f t="shared" si="4"/>
        <v>426585.38247089065</v>
      </c>
      <c r="AE11" s="36">
        <f t="shared" si="4"/>
        <v>443648.79776972625</v>
      </c>
      <c r="AF11" s="36">
        <f t="shared" si="4"/>
        <v>461394.74968051526</v>
      </c>
      <c r="AG11" s="36">
        <f t="shared" si="4"/>
        <v>479850.53966773592</v>
      </c>
      <c r="AH11" s="36">
        <f t="shared" si="4"/>
        <v>499044.56125444535</v>
      </c>
      <c r="AI11" s="36">
        <f t="shared" si="4"/>
        <v>519006.34370462317</v>
      </c>
      <c r="AJ11" s="36">
        <f t="shared" si="4"/>
        <v>539766.59745280817</v>
      </c>
      <c r="AK11" s="36">
        <f t="shared" si="4"/>
        <v>561357.26135092042</v>
      </c>
      <c r="AL11" s="36">
        <f t="shared" si="4"/>
        <v>583811.55180495733</v>
      </c>
      <c r="AM11" s="36">
        <f t="shared" si="4"/>
        <v>607164.01387715561</v>
      </c>
      <c r="AN11" s="36">
        <f t="shared" si="4"/>
        <v>631450.57443224196</v>
      </c>
      <c r="AO11" s="36">
        <f t="shared" si="4"/>
        <v>656708.59740953159</v>
      </c>
      <c r="AP11" s="36">
        <f t="shared" si="4"/>
        <v>682976.94130591291</v>
      </c>
      <c r="AQ11" s="36">
        <f t="shared" si="4"/>
        <v>710296.01895814948</v>
      </c>
      <c r="AR11" s="36">
        <f t="shared" si="4"/>
        <v>738707.85971647548</v>
      </c>
      <c r="AS11" s="36">
        <f t="shared" si="4"/>
        <v>768256.17410513456</v>
      </c>
      <c r="AT11" s="36">
        <f t="shared" si="4"/>
        <v>798986.42106933985</v>
      </c>
    </row>
    <row r="12" spans="1:46" x14ac:dyDescent="0.25">
      <c r="B12" s="2" t="s">
        <v>6</v>
      </c>
      <c r="H12" s="36">
        <f>H10</f>
        <v>60000</v>
      </c>
      <c r="I12" s="36">
        <f t="shared" ref="I12:AT12" si="5">I10</f>
        <v>60000</v>
      </c>
      <c r="J12" s="36">
        <f t="shared" si="5"/>
        <v>60000</v>
      </c>
      <c r="K12" s="36">
        <f t="shared" si="5"/>
        <v>60000</v>
      </c>
      <c r="L12" s="36">
        <f t="shared" si="5"/>
        <v>60000</v>
      </c>
      <c r="M12" s="36">
        <f t="shared" si="5"/>
        <v>60000</v>
      </c>
      <c r="N12" s="36">
        <f t="shared" si="5"/>
        <v>60000</v>
      </c>
      <c r="O12" s="36">
        <f t="shared" si="5"/>
        <v>60000</v>
      </c>
      <c r="P12" s="36">
        <f t="shared" si="5"/>
        <v>60000</v>
      </c>
      <c r="Q12" s="36">
        <f t="shared" si="5"/>
        <v>60000</v>
      </c>
      <c r="R12" s="36">
        <f t="shared" si="5"/>
        <v>60000</v>
      </c>
      <c r="S12" s="36">
        <f t="shared" si="5"/>
        <v>60000</v>
      </c>
      <c r="T12" s="36">
        <f t="shared" si="5"/>
        <v>60000</v>
      </c>
      <c r="U12" s="36">
        <f t="shared" si="5"/>
        <v>60000</v>
      </c>
      <c r="V12" s="36">
        <f t="shared" si="5"/>
        <v>60000</v>
      </c>
      <c r="W12" s="36">
        <f t="shared" si="5"/>
        <v>60000</v>
      </c>
      <c r="X12" s="36">
        <f t="shared" si="5"/>
        <v>60000</v>
      </c>
      <c r="Y12" s="36">
        <f t="shared" si="5"/>
        <v>60000</v>
      </c>
      <c r="Z12" s="36">
        <f t="shared" si="5"/>
        <v>60000</v>
      </c>
      <c r="AA12" s="36">
        <f t="shared" si="5"/>
        <v>60000</v>
      </c>
      <c r="AB12" s="36">
        <f t="shared" si="5"/>
        <v>60000</v>
      </c>
      <c r="AC12" s="36">
        <f t="shared" si="5"/>
        <v>60000</v>
      </c>
      <c r="AD12" s="36">
        <f t="shared" si="5"/>
        <v>60000</v>
      </c>
      <c r="AE12" s="36">
        <f t="shared" si="5"/>
        <v>60000</v>
      </c>
      <c r="AF12" s="36">
        <f t="shared" si="5"/>
        <v>60000</v>
      </c>
      <c r="AG12" s="36">
        <f t="shared" si="5"/>
        <v>60000</v>
      </c>
      <c r="AH12" s="36">
        <f t="shared" si="5"/>
        <v>60000</v>
      </c>
      <c r="AI12" s="36">
        <f t="shared" si="5"/>
        <v>60000</v>
      </c>
      <c r="AJ12" s="36">
        <f t="shared" si="5"/>
        <v>60000</v>
      </c>
      <c r="AK12" s="36">
        <f t="shared" si="5"/>
        <v>60000</v>
      </c>
      <c r="AL12" s="36">
        <f t="shared" si="5"/>
        <v>60000</v>
      </c>
      <c r="AM12" s="36">
        <f t="shared" si="5"/>
        <v>60000</v>
      </c>
      <c r="AN12" s="36">
        <f t="shared" si="5"/>
        <v>60000</v>
      </c>
      <c r="AO12" s="36">
        <f t="shared" si="5"/>
        <v>60000</v>
      </c>
      <c r="AP12" s="36">
        <f t="shared" si="5"/>
        <v>60000</v>
      </c>
      <c r="AQ12" s="36">
        <f t="shared" si="5"/>
        <v>60000</v>
      </c>
      <c r="AR12" s="36">
        <f t="shared" si="5"/>
        <v>60000</v>
      </c>
      <c r="AS12" s="36">
        <f t="shared" si="5"/>
        <v>60000</v>
      </c>
      <c r="AT12" s="36">
        <f t="shared" si="5"/>
        <v>60000</v>
      </c>
    </row>
    <row r="13" spans="1:46" ht="15.5" x14ac:dyDescent="0.4">
      <c r="B13" s="2" t="s">
        <v>7</v>
      </c>
      <c r="H13" s="31">
        <f>_xlfn.XLOOKUP(H2,'Mortality Table'!$A:$A,'Mortality Table'!$B:$B,"Not found")</f>
        <v>1.3630000000000001E-3</v>
      </c>
      <c r="I13" s="31">
        <f>_xlfn.XLOOKUP(I2,'Mortality Table'!$A:$A,'Mortality Table'!$B:$B,"Not found")</f>
        <v>1.3910000000000001E-3</v>
      </c>
      <c r="J13" s="31">
        <f>_xlfn.XLOOKUP(J2,'Mortality Table'!$A:$A,'Mortality Table'!$B:$B,"Not found")</f>
        <v>1.4270000000000001E-3</v>
      </c>
      <c r="K13" s="31">
        <f>_xlfn.XLOOKUP(K2,'Mortality Table'!$A:$A,'Mortality Table'!$B:$B,"Not found")</f>
        <v>1.467E-3</v>
      </c>
      <c r="L13" s="31">
        <f>_xlfn.XLOOKUP(L2,'Mortality Table'!$A:$A,'Mortality Table'!$B:$B,"Not found")</f>
        <v>1.505E-3</v>
      </c>
      <c r="M13" s="31">
        <f>_xlfn.XLOOKUP(M2,'Mortality Table'!$A:$A,'Mortality Table'!$B:$B,"Not found")</f>
        <v>1.5410000000000001E-3</v>
      </c>
      <c r="N13" s="31">
        <f>_xlfn.XLOOKUP(N2,'Mortality Table'!$A:$A,'Mortality Table'!$B:$B,"Not found")</f>
        <v>1.573E-3</v>
      </c>
      <c r="O13" s="31">
        <f>_xlfn.XLOOKUP(O2,'Mortality Table'!$A:$A,'Mortality Table'!$B:$B,"Not found")</f>
        <v>1.606E-3</v>
      </c>
      <c r="P13" s="31">
        <f>_xlfn.XLOOKUP(P2,'Mortality Table'!$A:$A,'Mortality Table'!$B:$B,"Not found")</f>
        <v>1.6479999999999999E-3</v>
      </c>
      <c r="Q13" s="31">
        <f>_xlfn.XLOOKUP(Q2,'Mortality Table'!$A:$A,'Mortality Table'!$B:$B,"Not found")</f>
        <v>1.704E-3</v>
      </c>
      <c r="R13" s="31">
        <f>_xlfn.XLOOKUP(R2,'Mortality Table'!$A:$A,'Mortality Table'!$B:$B,"Not found")</f>
        <v>1.774E-3</v>
      </c>
      <c r="S13" s="31">
        <f>_xlfn.XLOOKUP(S2,'Mortality Table'!$A:$A,'Mortality Table'!$B:$B,"Not found")</f>
        <v>1.861E-3</v>
      </c>
      <c r="T13" s="31">
        <f>_xlfn.XLOOKUP(T2,'Mortality Table'!$A:$A,'Mortality Table'!$B:$B,"Not found")</f>
        <v>1.967E-3</v>
      </c>
      <c r="U13" s="31">
        <f>_xlfn.XLOOKUP(U2,'Mortality Table'!$A:$A,'Mortality Table'!$B:$B,"Not found")</f>
        <v>2.0920000000000001E-3</v>
      </c>
      <c r="V13" s="31">
        <f>_xlfn.XLOOKUP(V2,'Mortality Table'!$A:$A,'Mortality Table'!$B:$B,"Not found")</f>
        <v>2.2399999999999998E-3</v>
      </c>
      <c r="W13" s="31">
        <f>_xlfn.XLOOKUP(W2,'Mortality Table'!$A:$A,'Mortality Table'!$B:$B,"Not found")</f>
        <v>2.418E-3</v>
      </c>
      <c r="X13" s="31">
        <f>_xlfn.XLOOKUP(X2,'Mortality Table'!$A:$A,'Mortality Table'!$B:$B,"Not found")</f>
        <v>2.6289999999999998E-3</v>
      </c>
      <c r="Y13" s="31">
        <f>_xlfn.XLOOKUP(Y2,'Mortality Table'!$A:$A,'Mortality Table'!$B:$B,"Not found")</f>
        <v>2.8730000000000001E-3</v>
      </c>
      <c r="Z13" s="31">
        <f>_xlfn.XLOOKUP(Z2,'Mortality Table'!$A:$A,'Mortality Table'!$B:$B,"Not found")</f>
        <v>3.1459999999999999E-3</v>
      </c>
      <c r="AA13" s="31">
        <f>_xlfn.XLOOKUP(AA2,'Mortality Table'!$A:$A,'Mortality Table'!$B:$B,"Not found")</f>
        <v>3.447E-3</v>
      </c>
      <c r="AB13" s="31">
        <f>_xlfn.XLOOKUP(AB2,'Mortality Table'!$A:$A,'Mortality Table'!$B:$B,"Not found")</f>
        <v>3.787E-3</v>
      </c>
      <c r="AC13" s="31">
        <f>_xlfn.XLOOKUP(AC2,'Mortality Table'!$A:$A,'Mortality Table'!$B:$B,"Not found")</f>
        <v>4.1669999999999997E-3</v>
      </c>
      <c r="AD13" s="31">
        <f>_xlfn.XLOOKUP(AD2,'Mortality Table'!$A:$A,'Mortality Table'!$B:$B,"Not found")</f>
        <v>4.5859999999999998E-3</v>
      </c>
      <c r="AE13" s="31">
        <f>_xlfn.XLOOKUP(AE2,'Mortality Table'!$A:$A,'Mortality Table'!$B:$B,"Not found")</f>
        <v>5.0379999999999999E-3</v>
      </c>
      <c r="AF13" s="31">
        <f>_xlfn.XLOOKUP(AF2,'Mortality Table'!$A:$A,'Mortality Table'!$B:$B,"Not found")</f>
        <v>5.5199999999999997E-3</v>
      </c>
      <c r="AG13" s="31">
        <f>_xlfn.XLOOKUP(AG2,'Mortality Table'!$A:$A,'Mortality Table'!$B:$B,"Not found")</f>
        <v>6.0359999999999997E-3</v>
      </c>
      <c r="AH13" s="31">
        <f>_xlfn.XLOOKUP(AH2,'Mortality Table'!$A:$A,'Mortality Table'!$B:$B,"Not found")</f>
        <v>6.587E-3</v>
      </c>
      <c r="AI13" s="31">
        <f>_xlfn.XLOOKUP(AI2,'Mortality Table'!$A:$A,'Mortality Table'!$B:$B,"Not found")</f>
        <v>7.1700000000000002E-3</v>
      </c>
      <c r="AJ13" s="31">
        <f>_xlfn.XLOOKUP(AJ2,'Mortality Table'!$A:$A,'Mortality Table'!$B:$B,"Not found")</f>
        <v>7.8009999999999998E-3</v>
      </c>
      <c r="AK13" s="31">
        <f>_xlfn.XLOOKUP(AK2,'Mortality Table'!$A:$A,'Mortality Table'!$B:$B,"Not found")</f>
        <v>8.4659999999999996E-3</v>
      </c>
      <c r="AL13" s="31">
        <f>_xlfn.XLOOKUP(AL2,'Mortality Table'!$A:$A,'Mortality Table'!$B:$B,"Not found")</f>
        <v>9.1330000000000005E-3</v>
      </c>
      <c r="AM13" s="31">
        <f>_xlfn.XLOOKUP(AM2,'Mortality Table'!$A:$A,'Mortality Table'!$B:$B,"Not found")</f>
        <v>9.7920000000000004E-3</v>
      </c>
      <c r="AN13" s="31">
        <f>_xlfn.XLOOKUP(AN2,'Mortality Table'!$A:$A,'Mortality Table'!$B:$B,"Not found")</f>
        <v>1.0462000000000001E-2</v>
      </c>
      <c r="AO13" s="31">
        <f>_xlfn.XLOOKUP(AO2,'Mortality Table'!$A:$A,'Mortality Table'!$B:$B,"Not found")</f>
        <v>1.1197E-2</v>
      </c>
      <c r="AP13" s="31">
        <f>_xlfn.XLOOKUP(AP2,'Mortality Table'!$A:$A,'Mortality Table'!$B:$B,"Not found")</f>
        <v>1.2009000000000001E-2</v>
      </c>
      <c r="AQ13" s="31">
        <f>_xlfn.XLOOKUP(AQ2,'Mortality Table'!$A:$A,'Mortality Table'!$B:$B,"Not found")</f>
        <v>1.2867E-2</v>
      </c>
      <c r="AR13" s="31">
        <f>_xlfn.XLOOKUP(AR2,'Mortality Table'!$A:$A,'Mortality Table'!$B:$B,"Not found")</f>
        <v>1.3772E-2</v>
      </c>
      <c r="AS13" s="31">
        <f>_xlfn.XLOOKUP(AS2,'Mortality Table'!$A:$A,'Mortality Table'!$B:$B,"Not found")</f>
        <v>1.4749E-2</v>
      </c>
      <c r="AT13" s="31">
        <f>_xlfn.XLOOKUP(AT2,'Mortality Table'!$A:$A,'Mortality Table'!$B:$B,"Not found")</f>
        <v>1.5852000000000002E-2</v>
      </c>
    </row>
    <row r="14" spans="1:46" ht="15.5" x14ac:dyDescent="0.4">
      <c r="B14" s="2" t="s">
        <v>15</v>
      </c>
      <c r="H14" s="31">
        <f>1-H13</f>
        <v>0.998637</v>
      </c>
      <c r="I14" s="31">
        <f t="shared" ref="I14:AT14" si="6">1-I13</f>
        <v>0.99860899999999997</v>
      </c>
      <c r="J14" s="31">
        <f t="shared" si="6"/>
        <v>0.99857300000000004</v>
      </c>
      <c r="K14" s="31">
        <f t="shared" si="6"/>
        <v>0.998533</v>
      </c>
      <c r="L14" s="31">
        <f t="shared" si="6"/>
        <v>0.99849500000000002</v>
      </c>
      <c r="M14" s="31">
        <f t="shared" si="6"/>
        <v>0.99845899999999999</v>
      </c>
      <c r="N14" s="31">
        <f t="shared" si="6"/>
        <v>0.99842699999999995</v>
      </c>
      <c r="O14" s="31">
        <f t="shared" si="6"/>
        <v>0.998394</v>
      </c>
      <c r="P14" s="31">
        <f t="shared" si="6"/>
        <v>0.99835200000000002</v>
      </c>
      <c r="Q14" s="31">
        <f t="shared" si="6"/>
        <v>0.99829599999999996</v>
      </c>
      <c r="R14" s="31">
        <f t="shared" si="6"/>
        <v>0.99822599999999995</v>
      </c>
      <c r="S14" s="31">
        <f t="shared" si="6"/>
        <v>0.998139</v>
      </c>
      <c r="T14" s="31">
        <f t="shared" si="6"/>
        <v>0.99803299999999995</v>
      </c>
      <c r="U14" s="31">
        <f t="shared" si="6"/>
        <v>0.99790800000000002</v>
      </c>
      <c r="V14" s="31">
        <f t="shared" si="6"/>
        <v>0.99775999999999998</v>
      </c>
      <c r="W14" s="31">
        <f t="shared" si="6"/>
        <v>0.99758199999999997</v>
      </c>
      <c r="X14" s="31">
        <f t="shared" si="6"/>
        <v>0.99737100000000001</v>
      </c>
      <c r="Y14" s="31">
        <f t="shared" si="6"/>
        <v>0.99712699999999999</v>
      </c>
      <c r="Z14" s="31">
        <f t="shared" si="6"/>
        <v>0.99685400000000002</v>
      </c>
      <c r="AA14" s="31">
        <f t="shared" si="6"/>
        <v>0.99655300000000002</v>
      </c>
      <c r="AB14" s="31">
        <f t="shared" si="6"/>
        <v>0.99621300000000002</v>
      </c>
      <c r="AC14" s="31">
        <f t="shared" si="6"/>
        <v>0.99583299999999997</v>
      </c>
      <c r="AD14" s="31">
        <f t="shared" si="6"/>
        <v>0.99541400000000002</v>
      </c>
      <c r="AE14" s="31">
        <f t="shared" si="6"/>
        <v>0.99496200000000001</v>
      </c>
      <c r="AF14" s="31">
        <f t="shared" si="6"/>
        <v>0.99448000000000003</v>
      </c>
      <c r="AG14" s="31">
        <f t="shared" si="6"/>
        <v>0.99396399999999996</v>
      </c>
      <c r="AH14" s="31">
        <f t="shared" si="6"/>
        <v>0.99341299999999999</v>
      </c>
      <c r="AI14" s="31">
        <f t="shared" si="6"/>
        <v>0.99282999999999999</v>
      </c>
      <c r="AJ14" s="31">
        <f t="shared" si="6"/>
        <v>0.99219900000000005</v>
      </c>
      <c r="AK14" s="31">
        <f t="shared" si="6"/>
        <v>0.99153400000000003</v>
      </c>
      <c r="AL14" s="31">
        <f t="shared" si="6"/>
        <v>0.99086700000000005</v>
      </c>
      <c r="AM14" s="31">
        <f t="shared" si="6"/>
        <v>0.99020799999999998</v>
      </c>
      <c r="AN14" s="31">
        <f t="shared" si="6"/>
        <v>0.98953800000000003</v>
      </c>
      <c r="AO14" s="31">
        <f t="shared" si="6"/>
        <v>0.98880299999999999</v>
      </c>
      <c r="AP14" s="31">
        <f t="shared" si="6"/>
        <v>0.98799099999999995</v>
      </c>
      <c r="AQ14" s="31">
        <f t="shared" si="6"/>
        <v>0.98713300000000004</v>
      </c>
      <c r="AR14" s="31">
        <f t="shared" si="6"/>
        <v>0.98622799999999999</v>
      </c>
      <c r="AS14" s="31">
        <f t="shared" si="6"/>
        <v>0.98525099999999999</v>
      </c>
      <c r="AT14" s="31">
        <f t="shared" si="6"/>
        <v>0.98414800000000002</v>
      </c>
    </row>
    <row r="15" spans="1:46" x14ac:dyDescent="0.25">
      <c r="B15" s="2" t="s">
        <v>23</v>
      </c>
      <c r="H15" s="31">
        <f>H13</f>
        <v>1.3630000000000001E-3</v>
      </c>
      <c r="I15" s="31">
        <f>PRODUCT(H14)*I13</f>
        <v>1.3891040670000001E-3</v>
      </c>
      <c r="J15" s="31">
        <f>PRODUCT($H$14:I14)*J13</f>
        <v>1.423072747496391E-3</v>
      </c>
      <c r="K15" s="31">
        <f>PRODUCT($H$14:J14)*K13</f>
        <v>1.460875015613134E-3</v>
      </c>
      <c r="L15" s="31">
        <f>PRODUCT($H$14:K14)*L13</f>
        <v>1.4965177419956853E-3</v>
      </c>
      <c r="M15" s="31">
        <f>PRODUCT($H$14:L14)*M13</f>
        <v>1.5300087102893861E-3</v>
      </c>
      <c r="N15" s="31">
        <f>PRODUCT($H$14:M14)*N13</f>
        <v>1.5593737643617934E-3</v>
      </c>
      <c r="O15" s="31">
        <f>PRODUCT($H$14:N14)*O13</f>
        <v>1.5895835450129093E-3</v>
      </c>
      <c r="P15" s="31">
        <f>PRODUCT($H$14:O14)*P13</f>
        <v>1.6285345893447642E-3</v>
      </c>
      <c r="Q15" s="31">
        <f>PRODUCT($H$14:P14)*Q13</f>
        <v>1.6810981204113816E-3</v>
      </c>
      <c r="R15" s="31">
        <f>PRODUCT($H$14:Q14)*R13</f>
        <v>1.7471750474330938E-3</v>
      </c>
      <c r="S15" s="31">
        <f>PRODUCT($H$14:R14)*S13</f>
        <v>1.8296080130275881E-3</v>
      </c>
      <c r="T15" s="31">
        <f>PRODUCT($H$14:S14)*T13</f>
        <v>1.9302211296709732E-3</v>
      </c>
      <c r="U15" s="31">
        <f>PRODUCT($H$14:T14)*U13</f>
        <v>2.0488458631474533E-3</v>
      </c>
      <c r="V15" s="31">
        <f>PRODUCT($H$14:U14)*V13</f>
        <v>2.1892034788852373E-3</v>
      </c>
      <c r="W15" s="31">
        <f>PRODUCT($H$14:V14)*W13</f>
        <v>2.3578734756061377E-3</v>
      </c>
      <c r="X15" s="31">
        <f>PRODUCT($H$14:W14)*X13</f>
        <v>2.5574278534318605E-3</v>
      </c>
      <c r="Y15" s="31">
        <f>PRODUCT($H$14:X14)*Y13</f>
        <v>2.7874376839534831E-3</v>
      </c>
      <c r="Z15" s="31">
        <f>PRODUCT($H$14:Y14)*Z13</f>
        <v>3.0435380491763402E-3</v>
      </c>
      <c r="AA15" s="31">
        <f>PRODUCT($H$14:Z14)*AA13</f>
        <v>3.3242437163059782E-3</v>
      </c>
      <c r="AB15" s="31">
        <f>PRODUCT($H$14:AA14)*AB13</f>
        <v>3.6395465557277364E-3</v>
      </c>
      <c r="AC15" s="31">
        <f>PRODUCT($H$14:AB14)*AC13</f>
        <v>3.9895846030373961E-3</v>
      </c>
      <c r="AD15" s="31">
        <f>PRODUCT($H$14:AC14)*AD13</f>
        <v>4.37244890288652E-3</v>
      </c>
      <c r="AE15" s="31">
        <f>PRODUCT($H$14:AD14)*AE13</f>
        <v>4.7813727303693187E-3</v>
      </c>
      <c r="AF15" s="31">
        <f>PRODUCT($H$14:AE14)*AF13</f>
        <v>5.2124272813689008E-3</v>
      </c>
      <c r="AG15" s="31">
        <f>PRODUCT($H$14:AF14)*AG13</f>
        <v>5.6682137074699993E-3</v>
      </c>
      <c r="AH15" s="31">
        <f>PRODUCT($H$14:AG14)*AH13</f>
        <v>6.1483035841791546E-3</v>
      </c>
      <c r="AI15" s="31">
        <f>PRODUCT($H$14:AH14)*AI13</f>
        <v>6.6483922513634573E-3</v>
      </c>
      <c r="AJ15" s="31">
        <f>PRODUCT($H$14:AI14)*AJ13</f>
        <v>7.1816237515849556E-3</v>
      </c>
      <c r="AK15" s="31">
        <f>PRODUCT($H$14:AJ14)*AK13</f>
        <v>7.7330250984720414E-3</v>
      </c>
      <c r="AL15" s="31">
        <f>PRODUCT($H$14:AK14)*AL13</f>
        <v>8.2716514167089361E-3</v>
      </c>
      <c r="AM15" s="31">
        <f>PRODUCT($H$14:AL14)*AM13</f>
        <v>8.7875040082057085E-3</v>
      </c>
      <c r="AN15" s="31">
        <f>PRODUCT($H$14:AM14)*AN13</f>
        <v>9.2968383084999894E-3</v>
      </c>
      <c r="AO15" s="31">
        <f>PRODUCT($H$14:AN14)*AO13</f>
        <v>9.8458840451296145E-3</v>
      </c>
      <c r="AP15" s="31">
        <f>PRODUCT($H$14:AO14)*AP13</f>
        <v>1.0441662671684279E-2</v>
      </c>
      <c r="AQ15" s="31">
        <f>PRODUCT($H$14:AP14)*AQ13</f>
        <v>1.1053329164588266E-2</v>
      </c>
      <c r="AR15" s="31">
        <f>PRODUCT($H$14:AQ14)*AR13</f>
        <v>1.1678538239849946E-2</v>
      </c>
      <c r="AS15" s="31">
        <f>PRODUCT($H$14:AR14)*AS13</f>
        <v>1.2334779125322907E-2</v>
      </c>
      <c r="AT15" s="31">
        <f>PRODUCT($H$14:AS14)*AT13</f>
        <v>1.3061701347534873E-2</v>
      </c>
    </row>
    <row r="16" spans="1:46" x14ac:dyDescent="0.25">
      <c r="B16" s="2" t="s">
        <v>24</v>
      </c>
      <c r="H16" s="36">
        <f>H15*H10</f>
        <v>81.78</v>
      </c>
      <c r="I16" s="36">
        <f t="shared" ref="I16:K16" si="7">I15*I10</f>
        <v>83.34624402</v>
      </c>
      <c r="J16" s="36">
        <f t="shared" si="7"/>
        <v>85.384364849783466</v>
      </c>
      <c r="K16" s="36">
        <f t="shared" si="7"/>
        <v>87.652500936788044</v>
      </c>
      <c r="L16" s="36">
        <f t="shared" ref="L16" si="8">L15*L10</f>
        <v>89.791064519741113</v>
      </c>
      <c r="M16" s="36">
        <f t="shared" ref="M16:N16" si="9">M15*M10</f>
        <v>91.800522617363171</v>
      </c>
      <c r="N16" s="36">
        <f t="shared" si="9"/>
        <v>93.562425861707609</v>
      </c>
      <c r="O16" s="36">
        <f t="shared" ref="O16" si="10">O15*O10</f>
        <v>95.375012700774562</v>
      </c>
      <c r="P16" s="36">
        <f t="shared" ref="P16:Q16" si="11">P15*P10</f>
        <v>97.712075360685859</v>
      </c>
      <c r="Q16" s="36">
        <f t="shared" si="11"/>
        <v>100.86588722468289</v>
      </c>
      <c r="R16" s="36">
        <f t="shared" ref="R16" si="12">R15*R10</f>
        <v>104.83050284598563</v>
      </c>
      <c r="S16" s="36">
        <f t="shared" ref="S16:T16" si="13">S15*S10</f>
        <v>109.77648078165528</v>
      </c>
      <c r="T16" s="36">
        <f t="shared" si="13"/>
        <v>115.81326778025839</v>
      </c>
      <c r="U16" s="36">
        <f t="shared" ref="U16" si="14">U15*U10</f>
        <v>122.9307517888472</v>
      </c>
      <c r="V16" s="36">
        <f t="shared" ref="V16:W16" si="15">V15*V10</f>
        <v>131.35220873311422</v>
      </c>
      <c r="W16" s="36">
        <f t="shared" si="15"/>
        <v>141.47240853636825</v>
      </c>
      <c r="X16" s="36">
        <f t="shared" ref="X16" si="16">X15*X10</f>
        <v>153.44567120591162</v>
      </c>
      <c r="Y16" s="36">
        <f t="shared" ref="Y16:Z16" si="17">Y15*Y10</f>
        <v>167.246261037209</v>
      </c>
      <c r="Z16" s="36">
        <f t="shared" si="17"/>
        <v>182.61228295058041</v>
      </c>
      <c r="AA16" s="36">
        <f t="shared" ref="AA16" si="18">AA15*AA10</f>
        <v>199.45462297835869</v>
      </c>
      <c r="AB16" s="36">
        <f t="shared" ref="AB16:AC16" si="19">AB15*AB10</f>
        <v>218.37279334366417</v>
      </c>
      <c r="AC16" s="36">
        <f t="shared" si="19"/>
        <v>239.37507618224376</v>
      </c>
      <c r="AD16" s="36">
        <f t="shared" ref="AD16" si="20">AD15*AD10</f>
        <v>262.34693417319119</v>
      </c>
      <c r="AE16" s="36">
        <f t="shared" ref="AE16:AF16" si="21">AE15*AE10</f>
        <v>286.88236382215911</v>
      </c>
      <c r="AF16" s="36">
        <f t="shared" si="21"/>
        <v>312.74563688213402</v>
      </c>
      <c r="AG16" s="36">
        <f t="shared" ref="AG16" si="22">AG15*AG10</f>
        <v>340.09282244819997</v>
      </c>
      <c r="AH16" s="36">
        <f t="shared" ref="AH16:AI16" si="23">AH15*AH10</f>
        <v>368.89821505074929</v>
      </c>
      <c r="AI16" s="36">
        <f t="shared" si="23"/>
        <v>398.90353508180743</v>
      </c>
      <c r="AJ16" s="36">
        <f t="shared" ref="AJ16" si="24">AJ15*AJ10</f>
        <v>430.89742509509733</v>
      </c>
      <c r="AK16" s="36">
        <f t="shared" ref="AK16:AL16" si="25">AK15*AK10</f>
        <v>463.9815059083225</v>
      </c>
      <c r="AL16" s="36">
        <f t="shared" si="25"/>
        <v>496.29908500253617</v>
      </c>
      <c r="AM16" s="36">
        <f t="shared" ref="AM16" si="26">AM15*AM10</f>
        <v>527.25024049234253</v>
      </c>
      <c r="AN16" s="36">
        <f t="shared" ref="AN16:AO16" si="27">AN15*AN10</f>
        <v>557.81029850999937</v>
      </c>
      <c r="AO16" s="36">
        <f t="shared" si="27"/>
        <v>590.7530427077769</v>
      </c>
      <c r="AP16" s="36">
        <f t="shared" ref="AP16" si="28">AP15*AP10</f>
        <v>626.49976030105665</v>
      </c>
      <c r="AQ16" s="36">
        <f t="shared" ref="AQ16:AR16" si="29">AQ15*AQ10</f>
        <v>663.19974987529588</v>
      </c>
      <c r="AR16" s="36">
        <f t="shared" si="29"/>
        <v>700.7122943909967</v>
      </c>
      <c r="AS16" s="36">
        <f t="shared" ref="AS16" si="30">AS15*AS10</f>
        <v>740.0867475193744</v>
      </c>
      <c r="AT16" s="36">
        <f t="shared" ref="AT16" si="31">AT15*AT10</f>
        <v>783.70208085209231</v>
      </c>
    </row>
    <row r="17" spans="1:46" x14ac:dyDescent="0.25">
      <c r="B17" s="2" t="s">
        <v>16</v>
      </c>
      <c r="H17" s="37">
        <f>(1+$H$29)^(-H1)</f>
        <v>0.95238095238095233</v>
      </c>
      <c r="I17" s="37">
        <f t="shared" ref="I17:AT17" si="32">(1+$H$29)^(-I1)</f>
        <v>0.90702947845804982</v>
      </c>
      <c r="J17" s="37">
        <f t="shared" si="32"/>
        <v>0.86383759853147601</v>
      </c>
      <c r="K17" s="37">
        <f t="shared" si="32"/>
        <v>0.82270247479188197</v>
      </c>
      <c r="L17" s="37">
        <f t="shared" si="32"/>
        <v>0.78352616646845896</v>
      </c>
      <c r="M17" s="37">
        <f t="shared" si="32"/>
        <v>0.74621539663662761</v>
      </c>
      <c r="N17" s="37">
        <f t="shared" si="32"/>
        <v>0.71068133013012147</v>
      </c>
      <c r="O17" s="37">
        <f t="shared" si="32"/>
        <v>0.67683936202868722</v>
      </c>
      <c r="P17" s="37">
        <f t="shared" si="32"/>
        <v>0.64460891621779726</v>
      </c>
      <c r="Q17" s="37">
        <f t="shared" si="32"/>
        <v>0.61391325354075932</v>
      </c>
      <c r="R17" s="37">
        <f t="shared" si="32"/>
        <v>0.5846792890864374</v>
      </c>
      <c r="S17" s="37">
        <f t="shared" si="32"/>
        <v>0.5568374181775595</v>
      </c>
      <c r="T17" s="37">
        <f t="shared" si="32"/>
        <v>0.53032135064529462</v>
      </c>
      <c r="U17" s="37">
        <f t="shared" si="32"/>
        <v>0.50506795299551888</v>
      </c>
      <c r="V17" s="37">
        <f t="shared" si="32"/>
        <v>0.48101709809097021</v>
      </c>
      <c r="W17" s="37">
        <f t="shared" si="32"/>
        <v>0.45811152199140021</v>
      </c>
      <c r="X17" s="37">
        <f t="shared" si="32"/>
        <v>0.43629668761085727</v>
      </c>
      <c r="Y17" s="37">
        <f t="shared" si="32"/>
        <v>0.41552065486748313</v>
      </c>
      <c r="Z17" s="37">
        <f t="shared" si="32"/>
        <v>0.39573395701665059</v>
      </c>
      <c r="AA17" s="37">
        <f t="shared" si="32"/>
        <v>0.37688948287300061</v>
      </c>
      <c r="AB17" s="37">
        <f t="shared" si="32"/>
        <v>0.35894236464095297</v>
      </c>
      <c r="AC17" s="37">
        <f t="shared" si="32"/>
        <v>0.3418498710866219</v>
      </c>
      <c r="AD17" s="37">
        <f t="shared" si="32"/>
        <v>0.32557130579678267</v>
      </c>
      <c r="AE17" s="37">
        <f t="shared" si="32"/>
        <v>0.31006791028265024</v>
      </c>
      <c r="AF17" s="37">
        <f t="shared" si="32"/>
        <v>0.29530277169776209</v>
      </c>
      <c r="AG17" s="37">
        <f t="shared" si="32"/>
        <v>0.28124073495024959</v>
      </c>
      <c r="AH17" s="37">
        <f t="shared" si="32"/>
        <v>0.2678483190002377</v>
      </c>
      <c r="AI17" s="37">
        <f t="shared" si="32"/>
        <v>0.25509363714308358</v>
      </c>
      <c r="AJ17" s="37">
        <f t="shared" si="32"/>
        <v>0.24294632108865097</v>
      </c>
      <c r="AK17" s="37">
        <f t="shared" si="32"/>
        <v>0.23137744865585813</v>
      </c>
      <c r="AL17" s="37">
        <f t="shared" si="32"/>
        <v>0.220359474910341</v>
      </c>
      <c r="AM17" s="37">
        <f t="shared" si="32"/>
        <v>0.20986616658127716</v>
      </c>
      <c r="AN17" s="37">
        <f t="shared" si="32"/>
        <v>0.19987253960121634</v>
      </c>
      <c r="AO17" s="37">
        <f t="shared" si="32"/>
        <v>0.19035479962020604</v>
      </c>
      <c r="AP17" s="37">
        <f t="shared" si="32"/>
        <v>0.18129028535257716</v>
      </c>
      <c r="AQ17" s="37">
        <f t="shared" si="32"/>
        <v>0.17265741462150208</v>
      </c>
      <c r="AR17" s="37">
        <f t="shared" si="32"/>
        <v>0.1644356329728591</v>
      </c>
      <c r="AS17" s="37">
        <f t="shared" si="32"/>
        <v>0.15660536473605632</v>
      </c>
      <c r="AT17" s="37">
        <f t="shared" si="32"/>
        <v>0.14914796641529171</v>
      </c>
    </row>
    <row r="18" spans="1:46" x14ac:dyDescent="0.25">
      <c r="B18" s="2" t="s">
        <v>18</v>
      </c>
      <c r="H18" s="36">
        <f>H17*H16</f>
        <v>77.885714285714286</v>
      </c>
      <c r="I18" s="36">
        <f t="shared" ref="I18:AT18" si="33">I17*I16</f>
        <v>75.597500244897958</v>
      </c>
      <c r="J18" s="36">
        <f t="shared" si="33"/>
        <v>73.758224683972315</v>
      </c>
      <c r="K18" s="36">
        <f t="shared" si="33"/>
        <v>72.111929442393276</v>
      </c>
      <c r="L18" s="36">
        <f t="shared" si="33"/>
        <v>70.353648566274813</v>
      </c>
      <c r="M18" s="36">
        <f t="shared" si="33"/>
        <v>68.502963396365359</v>
      </c>
      <c r="N18" s="36">
        <f t="shared" si="33"/>
        <v>66.493069261599246</v>
      </c>
      <c r="O18" s="36">
        <f t="shared" si="33"/>
        <v>64.553562749870196</v>
      </c>
      <c r="P18" s="36">
        <f t="shared" si="33"/>
        <v>62.986074999643442</v>
      </c>
      <c r="Q18" s="36">
        <f t="shared" si="33"/>
        <v>61.922904997380385</v>
      </c>
      <c r="R18" s="36">
        <f t="shared" si="33"/>
        <v>61.292223878564634</v>
      </c>
      <c r="S18" s="36">
        <f t="shared" si="33"/>
        <v>61.127652135075408</v>
      </c>
      <c r="T18" s="36">
        <f t="shared" si="33"/>
        <v>61.418248591871809</v>
      </c>
      <c r="U18" s="36">
        <f t="shared" si="33"/>
        <v>62.088383166193275</v>
      </c>
      <c r="V18" s="36">
        <f t="shared" si="33"/>
        <v>63.182658272642001</v>
      </c>
      <c r="W18" s="36">
        <f t="shared" si="33"/>
        <v>64.810140394384817</v>
      </c>
      <c r="X18" s="36">
        <f t="shared" si="33"/>
        <v>66.947838075363933</v>
      </c>
      <c r="Y18" s="36">
        <f t="shared" si="33"/>
        <v>69.494275910319104</v>
      </c>
      <c r="Z18" s="36">
        <f t="shared" si="33"/>
        <v>72.265881331877424</v>
      </c>
      <c r="AA18" s="36">
        <f t="shared" si="33"/>
        <v>75.17234971094291</v>
      </c>
      <c r="AB18" s="36">
        <f t="shared" si="33"/>
        <v>78.383246816024979</v>
      </c>
      <c r="AC18" s="36">
        <f t="shared" si="33"/>
        <v>81.830338934250321</v>
      </c>
      <c r="AD18" s="36">
        <f t="shared" si="33"/>
        <v>85.412633930548438</v>
      </c>
      <c r="AE18" s="36">
        <f t="shared" si="33"/>
        <v>88.953015047283856</v>
      </c>
      <c r="AF18" s="36">
        <f t="shared" si="33"/>
        <v>92.354653407676025</v>
      </c>
      <c r="AG18" s="36">
        <f t="shared" si="33"/>
        <v>95.6479553366365</v>
      </c>
      <c r="AH18" s="36">
        <f t="shared" si="33"/>
        <v>98.808766783531382</v>
      </c>
      <c r="AI18" s="36">
        <f t="shared" si="33"/>
        <v>101.75775363325189</v>
      </c>
      <c r="AJ18" s="36">
        <f t="shared" si="33"/>
        <v>104.68494419342645</v>
      </c>
      <c r="AK18" s="36">
        <f t="shared" si="33"/>
        <v>107.35485706057062</v>
      </c>
      <c r="AL18" s="36">
        <f t="shared" si="33"/>
        <v>109.36420576964156</v>
      </c>
      <c r="AM18" s="36">
        <f t="shared" si="33"/>
        <v>110.65198680118441</v>
      </c>
      <c r="AN18" s="36">
        <f t="shared" si="33"/>
        <v>111.49096097890616</v>
      </c>
      <c r="AO18" s="36">
        <f t="shared" si="33"/>
        <v>112.4526770696659</v>
      </c>
      <c r="AP18" s="36">
        <f t="shared" si="33"/>
        <v>113.57832031829975</v>
      </c>
      <c r="AQ18" s="36">
        <f t="shared" si="33"/>
        <v>114.50635419109544</v>
      </c>
      <c r="AR18" s="36">
        <f t="shared" si="33"/>
        <v>115.22206966004792</v>
      </c>
      <c r="AS18" s="36">
        <f t="shared" si="33"/>
        <v>115.90155503159326</v>
      </c>
      <c r="AT18" s="36">
        <f t="shared" si="33"/>
        <v>116.88757163452209</v>
      </c>
    </row>
    <row r="20" spans="1:46" ht="13" x14ac:dyDescent="0.3">
      <c r="B20" s="1" t="s">
        <v>19</v>
      </c>
      <c r="C20" s="1"/>
      <c r="D20" s="1"/>
      <c r="E20" s="1"/>
      <c r="F20" s="1"/>
      <c r="G20" s="32">
        <f>SUM(H18:AT18)</f>
        <v>3307.2091106935031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</row>
    <row r="23" spans="1:46" x14ac:dyDescent="0.25">
      <c r="B23" s="4" t="s">
        <v>21</v>
      </c>
    </row>
    <row r="25" spans="1:46" x14ac:dyDescent="0.25">
      <c r="C25" s="2" t="s">
        <v>1</v>
      </c>
      <c r="H25" s="34"/>
      <c r="I25" s="19">
        <v>0.04</v>
      </c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</row>
    <row r="26" spans="1:46" x14ac:dyDescent="0.25">
      <c r="A26" s="2" t="s">
        <v>20</v>
      </c>
      <c r="B26" s="23"/>
      <c r="C26" s="2" t="s">
        <v>3</v>
      </c>
      <c r="H26" s="21">
        <v>60000</v>
      </c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</row>
    <row r="27" spans="1:46" x14ac:dyDescent="0.25">
      <c r="A27" s="2" t="s">
        <v>20</v>
      </c>
      <c r="B27" s="23"/>
      <c r="C27" s="2" t="s">
        <v>4</v>
      </c>
      <c r="H27" s="18">
        <v>1.5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</row>
    <row r="28" spans="1:46" ht="15.5" x14ac:dyDescent="0.4">
      <c r="C28" s="2" t="s">
        <v>7</v>
      </c>
      <c r="H28" s="33" t="s">
        <v>28</v>
      </c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</row>
    <row r="29" spans="1:46" x14ac:dyDescent="0.25">
      <c r="C29" s="2" t="s">
        <v>22</v>
      </c>
      <c r="H29" s="19">
        <v>0.05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</row>
    <row r="32" spans="1:46" ht="13" x14ac:dyDescent="0.3">
      <c r="B32" s="39"/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A8055-DC57-4899-9732-1D927C060A98}">
  <dimension ref="A1:K12"/>
  <sheetViews>
    <sheetView workbookViewId="0">
      <selection activeCell="B12" sqref="B12"/>
    </sheetView>
  </sheetViews>
  <sheetFormatPr defaultRowHeight="14" x14ac:dyDescent="0.3"/>
  <cols>
    <col min="7" max="7" width="10.83203125" bestFit="1" customWidth="1"/>
  </cols>
  <sheetData>
    <row r="1" spans="1:11" x14ac:dyDescent="0.3">
      <c r="A1" s="41" t="s">
        <v>34</v>
      </c>
      <c r="B1" s="42"/>
      <c r="C1" s="42"/>
      <c r="D1" s="42"/>
      <c r="E1" s="42"/>
      <c r="F1" s="42"/>
      <c r="G1" s="42"/>
      <c r="H1" s="43"/>
      <c r="I1" s="43"/>
    </row>
    <row r="2" spans="1:11" x14ac:dyDescent="0.3">
      <c r="A2" s="43"/>
      <c r="B2" s="44" t="s">
        <v>35</v>
      </c>
      <c r="C2" s="42"/>
      <c r="D2" s="42"/>
      <c r="E2" s="42"/>
      <c r="F2" s="42"/>
      <c r="G2" s="45">
        <f>'Task 3 - Flat'!H26</f>
        <v>18142.185163313825</v>
      </c>
      <c r="H2" s="43"/>
      <c r="I2" s="43"/>
    </row>
    <row r="3" spans="1:11" x14ac:dyDescent="0.3">
      <c r="A3" s="41" t="s">
        <v>36</v>
      </c>
      <c r="B3" s="42"/>
      <c r="C3" s="42"/>
      <c r="D3" s="42"/>
      <c r="E3" s="42"/>
      <c r="F3" s="42"/>
      <c r="G3" s="42"/>
      <c r="H3" s="43"/>
      <c r="I3" s="43"/>
    </row>
    <row r="4" spans="1:11" x14ac:dyDescent="0.3">
      <c r="A4" s="43"/>
      <c r="B4" s="44" t="s">
        <v>37</v>
      </c>
      <c r="C4" s="42"/>
      <c r="D4" s="42"/>
      <c r="E4" s="42"/>
      <c r="F4" s="42"/>
      <c r="G4" s="46">
        <f>'Task 3 - %'!H27</f>
        <v>5.9588509486627472E-2</v>
      </c>
      <c r="H4" s="43"/>
      <c r="I4" s="43"/>
    </row>
    <row r="5" spans="1:11" x14ac:dyDescent="0.3">
      <c r="A5" s="43"/>
      <c r="B5" s="44" t="s">
        <v>38</v>
      </c>
      <c r="C5" s="42"/>
      <c r="D5" s="42"/>
      <c r="E5" s="42"/>
      <c r="F5" s="42"/>
      <c r="G5" s="45">
        <f>'Task 3 - %'!H11</f>
        <v>7150.6211383952968</v>
      </c>
      <c r="H5" s="43"/>
      <c r="I5" s="43"/>
    </row>
    <row r="6" spans="1:11" x14ac:dyDescent="0.3">
      <c r="A6" s="43"/>
      <c r="B6" s="43" t="s">
        <v>42</v>
      </c>
      <c r="C6" s="43"/>
      <c r="D6" s="43"/>
      <c r="E6" s="43"/>
      <c r="F6" s="43"/>
      <c r="G6" s="48">
        <f>'Task 3 - %'!AT12</f>
        <v>31740.27328771793</v>
      </c>
      <c r="H6" s="43"/>
      <c r="I6" s="43"/>
    </row>
    <row r="8" spans="1:11" x14ac:dyDescent="0.3">
      <c r="A8" s="41" t="s">
        <v>39</v>
      </c>
      <c r="B8" s="42"/>
      <c r="C8" s="42"/>
      <c r="D8" s="42"/>
      <c r="E8" s="42"/>
      <c r="F8" s="42"/>
      <c r="G8" s="42"/>
      <c r="H8" s="43"/>
      <c r="I8" s="43"/>
      <c r="J8" s="43"/>
      <c r="K8" s="43"/>
    </row>
    <row r="9" spans="1:11" x14ac:dyDescent="0.3">
      <c r="A9" s="43"/>
      <c r="B9" s="47" t="s">
        <v>40</v>
      </c>
      <c r="C9" s="42"/>
      <c r="D9" s="42"/>
      <c r="E9" s="42"/>
      <c r="F9" s="42"/>
      <c r="G9" s="42"/>
      <c r="H9" s="43"/>
      <c r="I9" s="43"/>
      <c r="J9" s="43"/>
      <c r="K9" s="43"/>
    </row>
    <row r="10" spans="1:11" x14ac:dyDescent="0.3">
      <c r="A10" s="43"/>
      <c r="B10" s="47" t="s">
        <v>41</v>
      </c>
      <c r="C10" s="42"/>
      <c r="D10" s="42"/>
      <c r="E10" s="42"/>
      <c r="F10" s="42"/>
      <c r="G10" s="42"/>
      <c r="H10" s="43"/>
      <c r="I10" s="43"/>
      <c r="J10" s="43"/>
      <c r="K10" s="43"/>
    </row>
    <row r="11" spans="1:11" x14ac:dyDescent="0.3">
      <c r="A11" s="43"/>
      <c r="B11" s="47" t="s">
        <v>43</v>
      </c>
      <c r="C11" s="42"/>
      <c r="D11" s="42"/>
      <c r="E11" s="42"/>
      <c r="F11" s="42"/>
      <c r="G11" s="42"/>
      <c r="H11" s="43"/>
      <c r="I11" s="43"/>
    </row>
    <row r="12" spans="1:11" x14ac:dyDescent="0.3">
      <c r="A12" s="43"/>
      <c r="B12" s="43"/>
      <c r="C12" s="43"/>
      <c r="D12" s="43"/>
      <c r="E12" s="43"/>
      <c r="F12" s="43"/>
      <c r="G12" s="43"/>
      <c r="H12" s="43"/>
      <c r="I12" s="4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1436-811D-4024-A751-0456600D5F75}">
  <dimension ref="A1:AT33"/>
  <sheetViews>
    <sheetView topLeftCell="A17" zoomScaleNormal="100" workbookViewId="0">
      <selection activeCell="E38" sqref="E38"/>
    </sheetView>
  </sheetViews>
  <sheetFormatPr defaultColWidth="9.1640625" defaultRowHeight="12.5" x14ac:dyDescent="0.25"/>
  <cols>
    <col min="1" max="1" width="9.1640625" style="2"/>
    <col min="2" max="2" width="4" style="2" customWidth="1"/>
    <col min="3" max="4" width="9.1640625" style="2"/>
    <col min="5" max="5" width="12.83203125" style="2" bestFit="1" customWidth="1"/>
    <col min="6" max="6" width="9.1640625" style="2"/>
    <col min="7" max="7" width="26.5" style="2" customWidth="1"/>
    <col min="8" max="8" width="15.5" style="2" bestFit="1" customWidth="1"/>
    <col min="9" max="25" width="12.25" style="2" bestFit="1" customWidth="1"/>
    <col min="26" max="46" width="14" style="2" bestFit="1" customWidth="1"/>
    <col min="47" max="16384" width="9.1640625" style="2"/>
  </cols>
  <sheetData>
    <row r="1" spans="1:46" x14ac:dyDescent="0.25">
      <c r="G1" s="15" t="s">
        <v>17</v>
      </c>
      <c r="H1" s="2">
        <v>1</v>
      </c>
      <c r="I1" s="2">
        <f>H1+1</f>
        <v>2</v>
      </c>
      <c r="J1" s="2">
        <f t="shared" ref="J1:AT1" si="0">I1+1</f>
        <v>3</v>
      </c>
      <c r="K1" s="2">
        <f t="shared" si="0"/>
        <v>4</v>
      </c>
      <c r="L1" s="2">
        <f t="shared" si="0"/>
        <v>5</v>
      </c>
      <c r="M1" s="2">
        <f t="shared" si="0"/>
        <v>6</v>
      </c>
      <c r="N1" s="2">
        <f t="shared" si="0"/>
        <v>7</v>
      </c>
      <c r="O1" s="2">
        <f t="shared" si="0"/>
        <v>8</v>
      </c>
      <c r="P1" s="2">
        <f t="shared" si="0"/>
        <v>9</v>
      </c>
      <c r="Q1" s="2">
        <f t="shared" si="0"/>
        <v>10</v>
      </c>
      <c r="R1" s="2">
        <f t="shared" si="0"/>
        <v>11</v>
      </c>
      <c r="S1" s="2">
        <f t="shared" si="0"/>
        <v>12</v>
      </c>
      <c r="T1" s="2">
        <f t="shared" si="0"/>
        <v>13</v>
      </c>
      <c r="U1" s="2">
        <f t="shared" si="0"/>
        <v>14</v>
      </c>
      <c r="V1" s="2">
        <f t="shared" si="0"/>
        <v>15</v>
      </c>
      <c r="W1" s="2">
        <f t="shared" si="0"/>
        <v>16</v>
      </c>
      <c r="X1" s="2">
        <f t="shared" si="0"/>
        <v>17</v>
      </c>
      <c r="Y1" s="2">
        <f t="shared" si="0"/>
        <v>18</v>
      </c>
      <c r="Z1" s="2">
        <f t="shared" si="0"/>
        <v>19</v>
      </c>
      <c r="AA1" s="2">
        <f t="shared" si="0"/>
        <v>20</v>
      </c>
      <c r="AB1" s="2">
        <f t="shared" si="0"/>
        <v>21</v>
      </c>
      <c r="AC1" s="2">
        <f t="shared" si="0"/>
        <v>22</v>
      </c>
      <c r="AD1" s="2">
        <f t="shared" si="0"/>
        <v>23</v>
      </c>
      <c r="AE1" s="2">
        <f t="shared" si="0"/>
        <v>24</v>
      </c>
      <c r="AF1" s="2">
        <f t="shared" si="0"/>
        <v>25</v>
      </c>
      <c r="AG1" s="2">
        <f t="shared" si="0"/>
        <v>26</v>
      </c>
      <c r="AH1" s="2">
        <f t="shared" si="0"/>
        <v>27</v>
      </c>
      <c r="AI1" s="2">
        <f t="shared" si="0"/>
        <v>28</v>
      </c>
      <c r="AJ1" s="2">
        <f t="shared" si="0"/>
        <v>29</v>
      </c>
      <c r="AK1" s="2">
        <f t="shared" si="0"/>
        <v>30</v>
      </c>
      <c r="AL1" s="2">
        <f t="shared" si="0"/>
        <v>31</v>
      </c>
      <c r="AM1" s="2">
        <f t="shared" si="0"/>
        <v>32</v>
      </c>
      <c r="AN1" s="2">
        <f t="shared" si="0"/>
        <v>33</v>
      </c>
      <c r="AO1" s="2">
        <f t="shared" si="0"/>
        <v>34</v>
      </c>
      <c r="AP1" s="2">
        <f t="shared" si="0"/>
        <v>35</v>
      </c>
      <c r="AQ1" s="2">
        <f t="shared" si="0"/>
        <v>36</v>
      </c>
      <c r="AR1" s="2">
        <f t="shared" si="0"/>
        <v>37</v>
      </c>
      <c r="AS1" s="2">
        <f t="shared" si="0"/>
        <v>38</v>
      </c>
      <c r="AT1" s="2">
        <f t="shared" si="0"/>
        <v>39</v>
      </c>
    </row>
    <row r="2" spans="1:46" ht="13" x14ac:dyDescent="0.3">
      <c r="A2" s="5"/>
      <c r="G2" s="15" t="s">
        <v>27</v>
      </c>
      <c r="H2" s="14">
        <v>27</v>
      </c>
      <c r="I2" s="2">
        <f t="shared" ref="I2:AT2" si="1">H2+1</f>
        <v>28</v>
      </c>
      <c r="J2" s="2">
        <f t="shared" si="1"/>
        <v>29</v>
      </c>
      <c r="K2" s="2">
        <f t="shared" si="1"/>
        <v>30</v>
      </c>
      <c r="L2" s="2">
        <f t="shared" si="1"/>
        <v>31</v>
      </c>
      <c r="M2" s="2">
        <f t="shared" si="1"/>
        <v>32</v>
      </c>
      <c r="N2" s="2">
        <f t="shared" si="1"/>
        <v>33</v>
      </c>
      <c r="O2" s="2">
        <f t="shared" si="1"/>
        <v>34</v>
      </c>
      <c r="P2" s="2">
        <f t="shared" si="1"/>
        <v>35</v>
      </c>
      <c r="Q2" s="2">
        <f t="shared" si="1"/>
        <v>36</v>
      </c>
      <c r="R2" s="2">
        <f t="shared" si="1"/>
        <v>37</v>
      </c>
      <c r="S2" s="2">
        <f t="shared" si="1"/>
        <v>38</v>
      </c>
      <c r="T2" s="2">
        <f t="shared" si="1"/>
        <v>39</v>
      </c>
      <c r="U2" s="2">
        <f t="shared" si="1"/>
        <v>40</v>
      </c>
      <c r="V2" s="2">
        <f t="shared" si="1"/>
        <v>41</v>
      </c>
      <c r="W2" s="2">
        <f t="shared" si="1"/>
        <v>42</v>
      </c>
      <c r="X2" s="2">
        <f t="shared" si="1"/>
        <v>43</v>
      </c>
      <c r="Y2" s="2">
        <f t="shared" si="1"/>
        <v>44</v>
      </c>
      <c r="Z2" s="2">
        <f t="shared" si="1"/>
        <v>45</v>
      </c>
      <c r="AA2" s="2">
        <f t="shared" si="1"/>
        <v>46</v>
      </c>
      <c r="AB2" s="2">
        <f t="shared" si="1"/>
        <v>47</v>
      </c>
      <c r="AC2" s="2">
        <f t="shared" si="1"/>
        <v>48</v>
      </c>
      <c r="AD2" s="2">
        <f t="shared" si="1"/>
        <v>49</v>
      </c>
      <c r="AE2" s="2">
        <f t="shared" si="1"/>
        <v>50</v>
      </c>
      <c r="AF2" s="2">
        <f t="shared" si="1"/>
        <v>51</v>
      </c>
      <c r="AG2" s="2">
        <f t="shared" si="1"/>
        <v>52</v>
      </c>
      <c r="AH2" s="2">
        <f t="shared" si="1"/>
        <v>53</v>
      </c>
      <c r="AI2" s="2">
        <f t="shared" si="1"/>
        <v>54</v>
      </c>
      <c r="AJ2" s="2">
        <f t="shared" si="1"/>
        <v>55</v>
      </c>
      <c r="AK2" s="2">
        <f t="shared" si="1"/>
        <v>56</v>
      </c>
      <c r="AL2" s="2">
        <f t="shared" si="1"/>
        <v>57</v>
      </c>
      <c r="AM2" s="2">
        <f t="shared" si="1"/>
        <v>58</v>
      </c>
      <c r="AN2" s="2">
        <f t="shared" si="1"/>
        <v>59</v>
      </c>
      <c r="AO2" s="2">
        <f t="shared" si="1"/>
        <v>60</v>
      </c>
      <c r="AP2" s="2">
        <f t="shared" si="1"/>
        <v>61</v>
      </c>
      <c r="AQ2" s="2">
        <f t="shared" si="1"/>
        <v>62</v>
      </c>
      <c r="AR2" s="2">
        <f t="shared" si="1"/>
        <v>63</v>
      </c>
      <c r="AS2" s="2">
        <f t="shared" si="1"/>
        <v>64</v>
      </c>
      <c r="AT2" s="2">
        <f t="shared" si="1"/>
        <v>65</v>
      </c>
    </row>
    <row r="3" spans="1:46" x14ac:dyDescent="0.25">
      <c r="H3" s="9"/>
      <c r="I3" s="9" t="s">
        <v>0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</row>
    <row r="4" spans="1:46" x14ac:dyDescent="0.25">
      <c r="H4" s="10">
        <v>2017</v>
      </c>
      <c r="I4" s="11">
        <f>H4+1</f>
        <v>2018</v>
      </c>
      <c r="J4" s="11">
        <f t="shared" ref="J4:AT4" si="2">I4+1</f>
        <v>2019</v>
      </c>
      <c r="K4" s="11">
        <f t="shared" si="2"/>
        <v>2020</v>
      </c>
      <c r="L4" s="11">
        <f t="shared" si="2"/>
        <v>2021</v>
      </c>
      <c r="M4" s="11">
        <f t="shared" si="2"/>
        <v>2022</v>
      </c>
      <c r="N4" s="11">
        <f t="shared" si="2"/>
        <v>2023</v>
      </c>
      <c r="O4" s="11">
        <f t="shared" si="2"/>
        <v>2024</v>
      </c>
      <c r="P4" s="11">
        <f t="shared" si="2"/>
        <v>2025</v>
      </c>
      <c r="Q4" s="11">
        <f t="shared" si="2"/>
        <v>2026</v>
      </c>
      <c r="R4" s="11">
        <f t="shared" si="2"/>
        <v>2027</v>
      </c>
      <c r="S4" s="11">
        <f t="shared" si="2"/>
        <v>2028</v>
      </c>
      <c r="T4" s="11">
        <f t="shared" si="2"/>
        <v>2029</v>
      </c>
      <c r="U4" s="11">
        <f t="shared" si="2"/>
        <v>2030</v>
      </c>
      <c r="V4" s="11">
        <f t="shared" si="2"/>
        <v>2031</v>
      </c>
      <c r="W4" s="11">
        <f t="shared" si="2"/>
        <v>2032</v>
      </c>
      <c r="X4" s="11">
        <f t="shared" si="2"/>
        <v>2033</v>
      </c>
      <c r="Y4" s="11">
        <f t="shared" si="2"/>
        <v>2034</v>
      </c>
      <c r="Z4" s="11">
        <f t="shared" si="2"/>
        <v>2035</v>
      </c>
      <c r="AA4" s="11">
        <f t="shared" si="2"/>
        <v>2036</v>
      </c>
      <c r="AB4" s="11">
        <f t="shared" si="2"/>
        <v>2037</v>
      </c>
      <c r="AC4" s="11">
        <f t="shared" si="2"/>
        <v>2038</v>
      </c>
      <c r="AD4" s="11">
        <f t="shared" si="2"/>
        <v>2039</v>
      </c>
      <c r="AE4" s="11">
        <f t="shared" si="2"/>
        <v>2040</v>
      </c>
      <c r="AF4" s="11">
        <f t="shared" si="2"/>
        <v>2041</v>
      </c>
      <c r="AG4" s="11">
        <f t="shared" si="2"/>
        <v>2042</v>
      </c>
      <c r="AH4" s="11">
        <f t="shared" si="2"/>
        <v>2043</v>
      </c>
      <c r="AI4" s="11">
        <f t="shared" si="2"/>
        <v>2044</v>
      </c>
      <c r="AJ4" s="11">
        <f t="shared" si="2"/>
        <v>2045</v>
      </c>
      <c r="AK4" s="11">
        <f t="shared" si="2"/>
        <v>2046</v>
      </c>
      <c r="AL4" s="11">
        <f t="shared" si="2"/>
        <v>2047</v>
      </c>
      <c r="AM4" s="11">
        <f t="shared" si="2"/>
        <v>2048</v>
      </c>
      <c r="AN4" s="11">
        <f t="shared" si="2"/>
        <v>2049</v>
      </c>
      <c r="AO4" s="11">
        <f t="shared" si="2"/>
        <v>2050</v>
      </c>
      <c r="AP4" s="11">
        <f t="shared" si="2"/>
        <v>2051</v>
      </c>
      <c r="AQ4" s="11">
        <f t="shared" si="2"/>
        <v>2052</v>
      </c>
      <c r="AR4" s="11">
        <f t="shared" si="2"/>
        <v>2053</v>
      </c>
      <c r="AS4" s="11">
        <f t="shared" si="2"/>
        <v>2054</v>
      </c>
      <c r="AT4" s="11">
        <f t="shared" si="2"/>
        <v>2055</v>
      </c>
    </row>
    <row r="5" spans="1:46" x14ac:dyDescent="0.25"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</row>
    <row r="6" spans="1:46" ht="13" x14ac:dyDescent="0.3">
      <c r="B6" s="3" t="s">
        <v>26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</row>
    <row r="7" spans="1:46" x14ac:dyDescent="0.25">
      <c r="B7" s="2" t="s">
        <v>29</v>
      </c>
      <c r="H7" s="6">
        <v>120000</v>
      </c>
      <c r="I7" s="13">
        <f>H7*(1+$I$25)</f>
        <v>124800</v>
      </c>
      <c r="J7" s="13">
        <f>I7*(1+$I$25)</f>
        <v>129792</v>
      </c>
      <c r="K7" s="13">
        <f t="shared" ref="K7:AT7" si="3">J7*(1+$I$25)</f>
        <v>134983.67999999999</v>
      </c>
      <c r="L7" s="13">
        <f t="shared" si="3"/>
        <v>140383.02720000001</v>
      </c>
      <c r="M7" s="13">
        <f t="shared" si="3"/>
        <v>145998.34828800001</v>
      </c>
      <c r="N7" s="13">
        <f t="shared" si="3"/>
        <v>151838.28221952001</v>
      </c>
      <c r="O7" s="13">
        <f t="shared" si="3"/>
        <v>157911.81350830081</v>
      </c>
      <c r="P7" s="13">
        <f t="shared" si="3"/>
        <v>164228.28604863284</v>
      </c>
      <c r="Q7" s="13">
        <f t="shared" si="3"/>
        <v>170797.41749057817</v>
      </c>
      <c r="R7" s="13">
        <f t="shared" si="3"/>
        <v>177629.31419020132</v>
      </c>
      <c r="S7" s="13">
        <f t="shared" si="3"/>
        <v>184734.48675780938</v>
      </c>
      <c r="T7" s="13">
        <f t="shared" si="3"/>
        <v>192123.86622812177</v>
      </c>
      <c r="U7" s="13">
        <f t="shared" si="3"/>
        <v>199808.82087724665</v>
      </c>
      <c r="V7" s="13">
        <f t="shared" si="3"/>
        <v>207801.17371233652</v>
      </c>
      <c r="W7" s="13">
        <f t="shared" si="3"/>
        <v>216113.22066082997</v>
      </c>
      <c r="X7" s="13">
        <f t="shared" si="3"/>
        <v>224757.74948726318</v>
      </c>
      <c r="Y7" s="13">
        <f t="shared" si="3"/>
        <v>233748.05946675371</v>
      </c>
      <c r="Z7" s="13">
        <f t="shared" si="3"/>
        <v>243097.98184542387</v>
      </c>
      <c r="AA7" s="13">
        <f t="shared" si="3"/>
        <v>252821.90111924082</v>
      </c>
      <c r="AB7" s="13">
        <f t="shared" si="3"/>
        <v>262934.77716401045</v>
      </c>
      <c r="AC7" s="13">
        <f t="shared" si="3"/>
        <v>273452.16825057089</v>
      </c>
      <c r="AD7" s="13">
        <f t="shared" si="3"/>
        <v>284390.25498059375</v>
      </c>
      <c r="AE7" s="13">
        <f t="shared" si="3"/>
        <v>295765.86517981748</v>
      </c>
      <c r="AF7" s="13">
        <f t="shared" si="3"/>
        <v>307596.49978701019</v>
      </c>
      <c r="AG7" s="13">
        <f t="shared" si="3"/>
        <v>319900.35977849062</v>
      </c>
      <c r="AH7" s="13">
        <f t="shared" si="3"/>
        <v>332696.37416963023</v>
      </c>
      <c r="AI7" s="13">
        <f t="shared" si="3"/>
        <v>346004.22913641547</v>
      </c>
      <c r="AJ7" s="13">
        <f t="shared" si="3"/>
        <v>359844.39830187208</v>
      </c>
      <c r="AK7" s="13">
        <f t="shared" si="3"/>
        <v>374238.17423394695</v>
      </c>
      <c r="AL7" s="13">
        <f t="shared" si="3"/>
        <v>389207.70120330487</v>
      </c>
      <c r="AM7" s="13">
        <f t="shared" si="3"/>
        <v>404776.00925143709</v>
      </c>
      <c r="AN7" s="13">
        <f t="shared" si="3"/>
        <v>420967.0496214946</v>
      </c>
      <c r="AO7" s="13">
        <f t="shared" si="3"/>
        <v>437805.73160635441</v>
      </c>
      <c r="AP7" s="13">
        <f t="shared" si="3"/>
        <v>455317.96087060863</v>
      </c>
      <c r="AQ7" s="13">
        <f t="shared" si="3"/>
        <v>473530.679305433</v>
      </c>
      <c r="AR7" s="13">
        <f t="shared" si="3"/>
        <v>492471.90647765034</v>
      </c>
      <c r="AS7" s="13">
        <f t="shared" si="3"/>
        <v>512170.78273675637</v>
      </c>
      <c r="AT7" s="13">
        <f t="shared" si="3"/>
        <v>532657.6140462266</v>
      </c>
    </row>
    <row r="8" spans="1:46" x14ac:dyDescent="0.25"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</row>
    <row r="9" spans="1:46" ht="13" x14ac:dyDescent="0.3">
      <c r="B9" s="3" t="s">
        <v>2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</row>
    <row r="10" spans="1:46" x14ac:dyDescent="0.25">
      <c r="B10" s="2" t="s">
        <v>3</v>
      </c>
      <c r="H10" s="36">
        <v>18142.185163313825</v>
      </c>
      <c r="I10" s="36">
        <f>H10</f>
        <v>18142.185163313825</v>
      </c>
      <c r="J10" s="36">
        <f t="shared" ref="J10:AT10" si="4">I10</f>
        <v>18142.185163313825</v>
      </c>
      <c r="K10" s="36">
        <f t="shared" si="4"/>
        <v>18142.185163313825</v>
      </c>
      <c r="L10" s="36">
        <f t="shared" si="4"/>
        <v>18142.185163313825</v>
      </c>
      <c r="M10" s="36">
        <f t="shared" si="4"/>
        <v>18142.185163313825</v>
      </c>
      <c r="N10" s="36">
        <f t="shared" si="4"/>
        <v>18142.185163313825</v>
      </c>
      <c r="O10" s="36">
        <f t="shared" si="4"/>
        <v>18142.185163313825</v>
      </c>
      <c r="P10" s="36">
        <f t="shared" si="4"/>
        <v>18142.185163313825</v>
      </c>
      <c r="Q10" s="36">
        <f t="shared" si="4"/>
        <v>18142.185163313825</v>
      </c>
      <c r="R10" s="36">
        <f t="shared" si="4"/>
        <v>18142.185163313825</v>
      </c>
      <c r="S10" s="36">
        <f t="shared" si="4"/>
        <v>18142.185163313825</v>
      </c>
      <c r="T10" s="36">
        <f t="shared" si="4"/>
        <v>18142.185163313825</v>
      </c>
      <c r="U10" s="36">
        <f t="shared" si="4"/>
        <v>18142.185163313825</v>
      </c>
      <c r="V10" s="36">
        <f t="shared" si="4"/>
        <v>18142.185163313825</v>
      </c>
      <c r="W10" s="36">
        <f t="shared" si="4"/>
        <v>18142.185163313825</v>
      </c>
      <c r="X10" s="36">
        <f t="shared" si="4"/>
        <v>18142.185163313825</v>
      </c>
      <c r="Y10" s="36">
        <f t="shared" si="4"/>
        <v>18142.185163313825</v>
      </c>
      <c r="Z10" s="36">
        <f t="shared" si="4"/>
        <v>18142.185163313825</v>
      </c>
      <c r="AA10" s="36">
        <f t="shared" si="4"/>
        <v>18142.185163313825</v>
      </c>
      <c r="AB10" s="36">
        <f t="shared" si="4"/>
        <v>18142.185163313825</v>
      </c>
      <c r="AC10" s="36">
        <f t="shared" si="4"/>
        <v>18142.185163313825</v>
      </c>
      <c r="AD10" s="36">
        <f t="shared" si="4"/>
        <v>18142.185163313825</v>
      </c>
      <c r="AE10" s="36">
        <f t="shared" si="4"/>
        <v>18142.185163313825</v>
      </c>
      <c r="AF10" s="36">
        <f t="shared" si="4"/>
        <v>18142.185163313825</v>
      </c>
      <c r="AG10" s="36">
        <f t="shared" si="4"/>
        <v>18142.185163313825</v>
      </c>
      <c r="AH10" s="36">
        <f t="shared" si="4"/>
        <v>18142.185163313825</v>
      </c>
      <c r="AI10" s="36">
        <f t="shared" si="4"/>
        <v>18142.185163313825</v>
      </c>
      <c r="AJ10" s="36">
        <f t="shared" si="4"/>
        <v>18142.185163313825</v>
      </c>
      <c r="AK10" s="36">
        <f t="shared" si="4"/>
        <v>18142.185163313825</v>
      </c>
      <c r="AL10" s="36">
        <f t="shared" si="4"/>
        <v>18142.185163313825</v>
      </c>
      <c r="AM10" s="36">
        <f t="shared" si="4"/>
        <v>18142.185163313825</v>
      </c>
      <c r="AN10" s="36">
        <f t="shared" si="4"/>
        <v>18142.185163313825</v>
      </c>
      <c r="AO10" s="36">
        <f t="shared" si="4"/>
        <v>18142.185163313825</v>
      </c>
      <c r="AP10" s="36">
        <f t="shared" si="4"/>
        <v>18142.185163313825</v>
      </c>
      <c r="AQ10" s="36">
        <f t="shared" si="4"/>
        <v>18142.185163313825</v>
      </c>
      <c r="AR10" s="36">
        <f t="shared" si="4"/>
        <v>18142.185163313825</v>
      </c>
      <c r="AS10" s="36">
        <f t="shared" si="4"/>
        <v>18142.185163313825</v>
      </c>
      <c r="AT10" s="36">
        <f t="shared" si="4"/>
        <v>18142.185163313825</v>
      </c>
    </row>
    <row r="11" spans="1:46" x14ac:dyDescent="0.25">
      <c r="B11" s="2" t="s">
        <v>5</v>
      </c>
      <c r="H11" s="36">
        <f>H7*$H$27</f>
        <v>180000</v>
      </c>
      <c r="I11" s="36">
        <f t="shared" ref="I11:AT11" si="5">I7*$H$27</f>
        <v>187200</v>
      </c>
      <c r="J11" s="36">
        <f t="shared" si="5"/>
        <v>194688</v>
      </c>
      <c r="K11" s="36">
        <f t="shared" si="5"/>
        <v>202475.51999999999</v>
      </c>
      <c r="L11" s="36">
        <f t="shared" si="5"/>
        <v>210574.54080000002</v>
      </c>
      <c r="M11" s="36">
        <f t="shared" si="5"/>
        <v>218997.52243200003</v>
      </c>
      <c r="N11" s="36">
        <f t="shared" si="5"/>
        <v>227757.42332928002</v>
      </c>
      <c r="O11" s="36">
        <f t="shared" si="5"/>
        <v>236867.72026245121</v>
      </c>
      <c r="P11" s="36">
        <f t="shared" si="5"/>
        <v>246342.42907294928</v>
      </c>
      <c r="Q11" s="36">
        <f t="shared" si="5"/>
        <v>256196.12623586727</v>
      </c>
      <c r="R11" s="36">
        <f t="shared" si="5"/>
        <v>266443.97128530196</v>
      </c>
      <c r="S11" s="36">
        <f t="shared" si="5"/>
        <v>277101.73013671406</v>
      </c>
      <c r="T11" s="36">
        <f t="shared" si="5"/>
        <v>288185.79934218264</v>
      </c>
      <c r="U11" s="36">
        <f t="shared" si="5"/>
        <v>299713.23131586995</v>
      </c>
      <c r="V11" s="36">
        <f t="shared" si="5"/>
        <v>311701.7605685048</v>
      </c>
      <c r="W11" s="36">
        <f t="shared" si="5"/>
        <v>324169.83099124499</v>
      </c>
      <c r="X11" s="36">
        <f t="shared" si="5"/>
        <v>337136.62423089478</v>
      </c>
      <c r="Y11" s="36">
        <f t="shared" si="5"/>
        <v>350622.08920013055</v>
      </c>
      <c r="Z11" s="36">
        <f t="shared" si="5"/>
        <v>364646.97276813583</v>
      </c>
      <c r="AA11" s="36">
        <f t="shared" si="5"/>
        <v>379232.85167886125</v>
      </c>
      <c r="AB11" s="36">
        <f t="shared" si="5"/>
        <v>394402.16574601567</v>
      </c>
      <c r="AC11" s="36">
        <f t="shared" si="5"/>
        <v>410178.25237585633</v>
      </c>
      <c r="AD11" s="36">
        <f t="shared" si="5"/>
        <v>426585.38247089065</v>
      </c>
      <c r="AE11" s="36">
        <f t="shared" si="5"/>
        <v>443648.79776972625</v>
      </c>
      <c r="AF11" s="36">
        <f t="shared" si="5"/>
        <v>461394.74968051526</v>
      </c>
      <c r="AG11" s="36">
        <f t="shared" si="5"/>
        <v>479850.53966773592</v>
      </c>
      <c r="AH11" s="36">
        <f t="shared" si="5"/>
        <v>499044.56125444535</v>
      </c>
      <c r="AI11" s="36">
        <f t="shared" si="5"/>
        <v>519006.34370462317</v>
      </c>
      <c r="AJ11" s="36">
        <f t="shared" si="5"/>
        <v>539766.59745280817</v>
      </c>
      <c r="AK11" s="36">
        <f t="shared" si="5"/>
        <v>561357.26135092042</v>
      </c>
      <c r="AL11" s="36">
        <f t="shared" si="5"/>
        <v>583811.55180495733</v>
      </c>
      <c r="AM11" s="36">
        <f t="shared" si="5"/>
        <v>607164.01387715561</v>
      </c>
      <c r="AN11" s="36">
        <f t="shared" si="5"/>
        <v>631450.57443224196</v>
      </c>
      <c r="AO11" s="36">
        <f t="shared" si="5"/>
        <v>656708.59740953159</v>
      </c>
      <c r="AP11" s="36">
        <f t="shared" si="5"/>
        <v>682976.94130591291</v>
      </c>
      <c r="AQ11" s="36">
        <f t="shared" si="5"/>
        <v>710296.01895814948</v>
      </c>
      <c r="AR11" s="36">
        <f t="shared" si="5"/>
        <v>738707.85971647548</v>
      </c>
      <c r="AS11" s="36">
        <f t="shared" si="5"/>
        <v>768256.17410513456</v>
      </c>
      <c r="AT11" s="36">
        <f t="shared" si="5"/>
        <v>798986.42106933985</v>
      </c>
    </row>
    <row r="12" spans="1:46" x14ac:dyDescent="0.25">
      <c r="B12" s="2" t="s">
        <v>32</v>
      </c>
      <c r="H12" s="36">
        <f>H10</f>
        <v>18142.185163313825</v>
      </c>
      <c r="I12" s="36">
        <f t="shared" ref="I12:AT12" si="6">I10</f>
        <v>18142.185163313825</v>
      </c>
      <c r="J12" s="36">
        <f t="shared" si="6"/>
        <v>18142.185163313825</v>
      </c>
      <c r="K12" s="36">
        <f t="shared" si="6"/>
        <v>18142.185163313825</v>
      </c>
      <c r="L12" s="36">
        <f t="shared" si="6"/>
        <v>18142.185163313825</v>
      </c>
      <c r="M12" s="36">
        <f t="shared" si="6"/>
        <v>18142.185163313825</v>
      </c>
      <c r="N12" s="36">
        <f t="shared" si="6"/>
        <v>18142.185163313825</v>
      </c>
      <c r="O12" s="36">
        <f t="shared" si="6"/>
        <v>18142.185163313825</v>
      </c>
      <c r="P12" s="36">
        <f t="shared" si="6"/>
        <v>18142.185163313825</v>
      </c>
      <c r="Q12" s="36">
        <f t="shared" si="6"/>
        <v>18142.185163313825</v>
      </c>
      <c r="R12" s="36">
        <f t="shared" si="6"/>
        <v>18142.185163313825</v>
      </c>
      <c r="S12" s="36">
        <f t="shared" si="6"/>
        <v>18142.185163313825</v>
      </c>
      <c r="T12" s="36">
        <f t="shared" si="6"/>
        <v>18142.185163313825</v>
      </c>
      <c r="U12" s="36">
        <f t="shared" si="6"/>
        <v>18142.185163313825</v>
      </c>
      <c r="V12" s="36">
        <f t="shared" si="6"/>
        <v>18142.185163313825</v>
      </c>
      <c r="W12" s="36">
        <f t="shared" si="6"/>
        <v>18142.185163313825</v>
      </c>
      <c r="X12" s="36">
        <f t="shared" si="6"/>
        <v>18142.185163313825</v>
      </c>
      <c r="Y12" s="36">
        <f t="shared" si="6"/>
        <v>18142.185163313825</v>
      </c>
      <c r="Z12" s="36">
        <f t="shared" si="6"/>
        <v>18142.185163313825</v>
      </c>
      <c r="AA12" s="36">
        <f t="shared" si="6"/>
        <v>18142.185163313825</v>
      </c>
      <c r="AB12" s="36">
        <f t="shared" si="6"/>
        <v>18142.185163313825</v>
      </c>
      <c r="AC12" s="36">
        <f t="shared" si="6"/>
        <v>18142.185163313825</v>
      </c>
      <c r="AD12" s="36">
        <f t="shared" si="6"/>
        <v>18142.185163313825</v>
      </c>
      <c r="AE12" s="36">
        <f t="shared" si="6"/>
        <v>18142.185163313825</v>
      </c>
      <c r="AF12" s="36">
        <f t="shared" si="6"/>
        <v>18142.185163313825</v>
      </c>
      <c r="AG12" s="36">
        <f t="shared" si="6"/>
        <v>18142.185163313825</v>
      </c>
      <c r="AH12" s="36">
        <f t="shared" si="6"/>
        <v>18142.185163313825</v>
      </c>
      <c r="AI12" s="36">
        <f t="shared" si="6"/>
        <v>18142.185163313825</v>
      </c>
      <c r="AJ12" s="36">
        <f t="shared" si="6"/>
        <v>18142.185163313825</v>
      </c>
      <c r="AK12" s="36">
        <f t="shared" si="6"/>
        <v>18142.185163313825</v>
      </c>
      <c r="AL12" s="36">
        <f t="shared" si="6"/>
        <v>18142.185163313825</v>
      </c>
      <c r="AM12" s="36">
        <f t="shared" si="6"/>
        <v>18142.185163313825</v>
      </c>
      <c r="AN12" s="36">
        <f t="shared" si="6"/>
        <v>18142.185163313825</v>
      </c>
      <c r="AO12" s="36">
        <f t="shared" si="6"/>
        <v>18142.185163313825</v>
      </c>
      <c r="AP12" s="36">
        <f t="shared" si="6"/>
        <v>18142.185163313825</v>
      </c>
      <c r="AQ12" s="36">
        <f t="shared" si="6"/>
        <v>18142.185163313825</v>
      </c>
      <c r="AR12" s="36">
        <f t="shared" si="6"/>
        <v>18142.185163313825</v>
      </c>
      <c r="AS12" s="36">
        <f t="shared" si="6"/>
        <v>18142.185163313825</v>
      </c>
      <c r="AT12" s="36">
        <f t="shared" si="6"/>
        <v>18142.185163313825</v>
      </c>
    </row>
    <row r="13" spans="1:46" ht="15.5" x14ac:dyDescent="0.4">
      <c r="B13" s="2" t="s">
        <v>7</v>
      </c>
      <c r="H13" s="31">
        <f>_xlfn.XLOOKUP(H2,'Mortality Table'!$A:$A,'Mortality Table'!$B:$B,"Not found")</f>
        <v>1.3630000000000001E-3</v>
      </c>
      <c r="I13" s="31">
        <f>_xlfn.XLOOKUP(I2,'Mortality Table'!$A:$A,'Mortality Table'!$B:$B,"Not found")</f>
        <v>1.3910000000000001E-3</v>
      </c>
      <c r="J13" s="31">
        <f>_xlfn.XLOOKUP(J2,'Mortality Table'!$A:$A,'Mortality Table'!$B:$B,"Not found")</f>
        <v>1.4270000000000001E-3</v>
      </c>
      <c r="K13" s="31">
        <f>_xlfn.XLOOKUP(K2,'Mortality Table'!$A:$A,'Mortality Table'!$B:$B,"Not found")</f>
        <v>1.467E-3</v>
      </c>
      <c r="L13" s="31">
        <f>_xlfn.XLOOKUP(L2,'Mortality Table'!$A:$A,'Mortality Table'!$B:$B,"Not found")</f>
        <v>1.505E-3</v>
      </c>
      <c r="M13" s="31">
        <f>_xlfn.XLOOKUP(M2,'Mortality Table'!$A:$A,'Mortality Table'!$B:$B,"Not found")</f>
        <v>1.5410000000000001E-3</v>
      </c>
      <c r="N13" s="31">
        <f>_xlfn.XLOOKUP(N2,'Mortality Table'!$A:$A,'Mortality Table'!$B:$B,"Not found")</f>
        <v>1.573E-3</v>
      </c>
      <c r="O13" s="31">
        <f>_xlfn.XLOOKUP(O2,'Mortality Table'!$A:$A,'Mortality Table'!$B:$B,"Not found")</f>
        <v>1.606E-3</v>
      </c>
      <c r="P13" s="31">
        <f>_xlfn.XLOOKUP(P2,'Mortality Table'!$A:$A,'Mortality Table'!$B:$B,"Not found")</f>
        <v>1.6479999999999999E-3</v>
      </c>
      <c r="Q13" s="31">
        <f>_xlfn.XLOOKUP(Q2,'Mortality Table'!$A:$A,'Mortality Table'!$B:$B,"Not found")</f>
        <v>1.704E-3</v>
      </c>
      <c r="R13" s="31">
        <f>_xlfn.XLOOKUP(R2,'Mortality Table'!$A:$A,'Mortality Table'!$B:$B,"Not found")</f>
        <v>1.774E-3</v>
      </c>
      <c r="S13" s="31">
        <f>_xlfn.XLOOKUP(S2,'Mortality Table'!$A:$A,'Mortality Table'!$B:$B,"Not found")</f>
        <v>1.861E-3</v>
      </c>
      <c r="T13" s="31">
        <f>_xlfn.XLOOKUP(T2,'Mortality Table'!$A:$A,'Mortality Table'!$B:$B,"Not found")</f>
        <v>1.967E-3</v>
      </c>
      <c r="U13" s="31">
        <f>_xlfn.XLOOKUP(U2,'Mortality Table'!$A:$A,'Mortality Table'!$B:$B,"Not found")</f>
        <v>2.0920000000000001E-3</v>
      </c>
      <c r="V13" s="31">
        <f>_xlfn.XLOOKUP(V2,'Mortality Table'!$A:$A,'Mortality Table'!$B:$B,"Not found")</f>
        <v>2.2399999999999998E-3</v>
      </c>
      <c r="W13" s="31">
        <f>_xlfn.XLOOKUP(W2,'Mortality Table'!$A:$A,'Mortality Table'!$B:$B,"Not found")</f>
        <v>2.418E-3</v>
      </c>
      <c r="X13" s="31">
        <f>_xlfn.XLOOKUP(X2,'Mortality Table'!$A:$A,'Mortality Table'!$B:$B,"Not found")</f>
        <v>2.6289999999999998E-3</v>
      </c>
      <c r="Y13" s="31">
        <f>_xlfn.XLOOKUP(Y2,'Mortality Table'!$A:$A,'Mortality Table'!$B:$B,"Not found")</f>
        <v>2.8730000000000001E-3</v>
      </c>
      <c r="Z13" s="31">
        <f>_xlfn.XLOOKUP(Z2,'Mortality Table'!$A:$A,'Mortality Table'!$B:$B,"Not found")</f>
        <v>3.1459999999999999E-3</v>
      </c>
      <c r="AA13" s="31">
        <f>_xlfn.XLOOKUP(AA2,'Mortality Table'!$A:$A,'Mortality Table'!$B:$B,"Not found")</f>
        <v>3.447E-3</v>
      </c>
      <c r="AB13" s="31">
        <f>_xlfn.XLOOKUP(AB2,'Mortality Table'!$A:$A,'Mortality Table'!$B:$B,"Not found")</f>
        <v>3.787E-3</v>
      </c>
      <c r="AC13" s="31">
        <f>_xlfn.XLOOKUP(AC2,'Mortality Table'!$A:$A,'Mortality Table'!$B:$B,"Not found")</f>
        <v>4.1669999999999997E-3</v>
      </c>
      <c r="AD13" s="31">
        <f>_xlfn.XLOOKUP(AD2,'Mortality Table'!$A:$A,'Mortality Table'!$B:$B,"Not found")</f>
        <v>4.5859999999999998E-3</v>
      </c>
      <c r="AE13" s="31">
        <f>_xlfn.XLOOKUP(AE2,'Mortality Table'!$A:$A,'Mortality Table'!$B:$B,"Not found")</f>
        <v>5.0379999999999999E-3</v>
      </c>
      <c r="AF13" s="31">
        <f>_xlfn.XLOOKUP(AF2,'Mortality Table'!$A:$A,'Mortality Table'!$B:$B,"Not found")</f>
        <v>5.5199999999999997E-3</v>
      </c>
      <c r="AG13" s="31">
        <f>_xlfn.XLOOKUP(AG2,'Mortality Table'!$A:$A,'Mortality Table'!$B:$B,"Not found")</f>
        <v>6.0359999999999997E-3</v>
      </c>
      <c r="AH13" s="31">
        <f>_xlfn.XLOOKUP(AH2,'Mortality Table'!$A:$A,'Mortality Table'!$B:$B,"Not found")</f>
        <v>6.587E-3</v>
      </c>
      <c r="AI13" s="31">
        <f>_xlfn.XLOOKUP(AI2,'Mortality Table'!$A:$A,'Mortality Table'!$B:$B,"Not found")</f>
        <v>7.1700000000000002E-3</v>
      </c>
      <c r="AJ13" s="31">
        <f>_xlfn.XLOOKUP(AJ2,'Mortality Table'!$A:$A,'Mortality Table'!$B:$B,"Not found")</f>
        <v>7.8009999999999998E-3</v>
      </c>
      <c r="AK13" s="31">
        <f>_xlfn.XLOOKUP(AK2,'Mortality Table'!$A:$A,'Mortality Table'!$B:$B,"Not found")</f>
        <v>8.4659999999999996E-3</v>
      </c>
      <c r="AL13" s="31">
        <f>_xlfn.XLOOKUP(AL2,'Mortality Table'!$A:$A,'Mortality Table'!$B:$B,"Not found")</f>
        <v>9.1330000000000005E-3</v>
      </c>
      <c r="AM13" s="31">
        <f>_xlfn.XLOOKUP(AM2,'Mortality Table'!$A:$A,'Mortality Table'!$B:$B,"Not found")</f>
        <v>9.7920000000000004E-3</v>
      </c>
      <c r="AN13" s="31">
        <f>_xlfn.XLOOKUP(AN2,'Mortality Table'!$A:$A,'Mortality Table'!$B:$B,"Not found")</f>
        <v>1.0462000000000001E-2</v>
      </c>
      <c r="AO13" s="31">
        <f>_xlfn.XLOOKUP(AO2,'Mortality Table'!$A:$A,'Mortality Table'!$B:$B,"Not found")</f>
        <v>1.1197E-2</v>
      </c>
      <c r="AP13" s="31">
        <f>_xlfn.XLOOKUP(AP2,'Mortality Table'!$A:$A,'Mortality Table'!$B:$B,"Not found")</f>
        <v>1.2009000000000001E-2</v>
      </c>
      <c r="AQ13" s="31">
        <f>_xlfn.XLOOKUP(AQ2,'Mortality Table'!$A:$A,'Mortality Table'!$B:$B,"Not found")</f>
        <v>1.2867E-2</v>
      </c>
      <c r="AR13" s="31">
        <f>_xlfn.XLOOKUP(AR2,'Mortality Table'!$A:$A,'Mortality Table'!$B:$B,"Not found")</f>
        <v>1.3772E-2</v>
      </c>
      <c r="AS13" s="31">
        <f>_xlfn.XLOOKUP(AS2,'Mortality Table'!$A:$A,'Mortality Table'!$B:$B,"Not found")</f>
        <v>1.4749E-2</v>
      </c>
      <c r="AT13" s="31">
        <f>_xlfn.XLOOKUP(AT2,'Mortality Table'!$A:$A,'Mortality Table'!$B:$B,"Not found")</f>
        <v>1.5852000000000002E-2</v>
      </c>
    </row>
    <row r="14" spans="1:46" ht="15.5" x14ac:dyDescent="0.4">
      <c r="B14" s="2" t="s">
        <v>15</v>
      </c>
      <c r="H14" s="31">
        <f>1-H13</f>
        <v>0.998637</v>
      </c>
      <c r="I14" s="31">
        <f t="shared" ref="I14:AT14" si="7">1-I13</f>
        <v>0.99860899999999997</v>
      </c>
      <c r="J14" s="31">
        <f t="shared" si="7"/>
        <v>0.99857300000000004</v>
      </c>
      <c r="K14" s="31">
        <f t="shared" si="7"/>
        <v>0.998533</v>
      </c>
      <c r="L14" s="31">
        <f t="shared" si="7"/>
        <v>0.99849500000000002</v>
      </c>
      <c r="M14" s="31">
        <f t="shared" si="7"/>
        <v>0.99845899999999999</v>
      </c>
      <c r="N14" s="31">
        <f t="shared" si="7"/>
        <v>0.99842699999999995</v>
      </c>
      <c r="O14" s="31">
        <f t="shared" si="7"/>
        <v>0.998394</v>
      </c>
      <c r="P14" s="31">
        <f t="shared" si="7"/>
        <v>0.99835200000000002</v>
      </c>
      <c r="Q14" s="31">
        <f t="shared" si="7"/>
        <v>0.99829599999999996</v>
      </c>
      <c r="R14" s="31">
        <f t="shared" si="7"/>
        <v>0.99822599999999995</v>
      </c>
      <c r="S14" s="31">
        <f t="shared" si="7"/>
        <v>0.998139</v>
      </c>
      <c r="T14" s="31">
        <f t="shared" si="7"/>
        <v>0.99803299999999995</v>
      </c>
      <c r="U14" s="31">
        <f t="shared" si="7"/>
        <v>0.99790800000000002</v>
      </c>
      <c r="V14" s="31">
        <f t="shared" si="7"/>
        <v>0.99775999999999998</v>
      </c>
      <c r="W14" s="31">
        <f t="shared" si="7"/>
        <v>0.99758199999999997</v>
      </c>
      <c r="X14" s="31">
        <f t="shared" si="7"/>
        <v>0.99737100000000001</v>
      </c>
      <c r="Y14" s="31">
        <f t="shared" si="7"/>
        <v>0.99712699999999999</v>
      </c>
      <c r="Z14" s="31">
        <f t="shared" si="7"/>
        <v>0.99685400000000002</v>
      </c>
      <c r="AA14" s="31">
        <f t="shared" si="7"/>
        <v>0.99655300000000002</v>
      </c>
      <c r="AB14" s="31">
        <f t="shared" si="7"/>
        <v>0.99621300000000002</v>
      </c>
      <c r="AC14" s="31">
        <f t="shared" si="7"/>
        <v>0.99583299999999997</v>
      </c>
      <c r="AD14" s="31">
        <f t="shared" si="7"/>
        <v>0.99541400000000002</v>
      </c>
      <c r="AE14" s="31">
        <f t="shared" si="7"/>
        <v>0.99496200000000001</v>
      </c>
      <c r="AF14" s="31">
        <f t="shared" si="7"/>
        <v>0.99448000000000003</v>
      </c>
      <c r="AG14" s="31">
        <f t="shared" si="7"/>
        <v>0.99396399999999996</v>
      </c>
      <c r="AH14" s="31">
        <f t="shared" si="7"/>
        <v>0.99341299999999999</v>
      </c>
      <c r="AI14" s="31">
        <f t="shared" si="7"/>
        <v>0.99282999999999999</v>
      </c>
      <c r="AJ14" s="31">
        <f t="shared" si="7"/>
        <v>0.99219900000000005</v>
      </c>
      <c r="AK14" s="31">
        <f t="shared" si="7"/>
        <v>0.99153400000000003</v>
      </c>
      <c r="AL14" s="31">
        <f t="shared" si="7"/>
        <v>0.99086700000000005</v>
      </c>
      <c r="AM14" s="31">
        <f t="shared" si="7"/>
        <v>0.99020799999999998</v>
      </c>
      <c r="AN14" s="31">
        <f t="shared" si="7"/>
        <v>0.98953800000000003</v>
      </c>
      <c r="AO14" s="31">
        <f t="shared" si="7"/>
        <v>0.98880299999999999</v>
      </c>
      <c r="AP14" s="31">
        <f t="shared" si="7"/>
        <v>0.98799099999999995</v>
      </c>
      <c r="AQ14" s="31">
        <f t="shared" si="7"/>
        <v>0.98713300000000004</v>
      </c>
      <c r="AR14" s="31">
        <f t="shared" si="7"/>
        <v>0.98622799999999999</v>
      </c>
      <c r="AS14" s="31">
        <f t="shared" si="7"/>
        <v>0.98525099999999999</v>
      </c>
      <c r="AT14" s="31">
        <f t="shared" si="7"/>
        <v>0.98414800000000002</v>
      </c>
    </row>
    <row r="15" spans="1:46" x14ac:dyDescent="0.25">
      <c r="B15" s="2" t="s">
        <v>23</v>
      </c>
      <c r="H15" s="31">
        <f>H13</f>
        <v>1.3630000000000001E-3</v>
      </c>
      <c r="I15" s="31">
        <f>PRODUCT(H14)*I13</f>
        <v>1.3891040670000001E-3</v>
      </c>
      <c r="J15" s="31">
        <f>PRODUCT($H$14:I14)*J13</f>
        <v>1.423072747496391E-3</v>
      </c>
      <c r="K15" s="31">
        <f>PRODUCT($H$14:J14)*K13</f>
        <v>1.460875015613134E-3</v>
      </c>
      <c r="L15" s="31">
        <f>PRODUCT($H$14:K14)*L13</f>
        <v>1.4965177419956853E-3</v>
      </c>
      <c r="M15" s="31">
        <f>PRODUCT($H$14:L14)*M13</f>
        <v>1.5300087102893861E-3</v>
      </c>
      <c r="N15" s="31">
        <f>PRODUCT($H$14:M14)*N13</f>
        <v>1.5593737643617934E-3</v>
      </c>
      <c r="O15" s="31">
        <f>PRODUCT($H$14:N14)*O13</f>
        <v>1.5895835450129093E-3</v>
      </c>
      <c r="P15" s="31">
        <f>PRODUCT($H$14:O14)*P13</f>
        <v>1.6285345893447642E-3</v>
      </c>
      <c r="Q15" s="31">
        <f>PRODUCT($H$14:P14)*Q13</f>
        <v>1.6810981204113816E-3</v>
      </c>
      <c r="R15" s="31">
        <f>PRODUCT($H$14:Q14)*R13</f>
        <v>1.7471750474330938E-3</v>
      </c>
      <c r="S15" s="31">
        <f>PRODUCT($H$14:R14)*S13</f>
        <v>1.8296080130275881E-3</v>
      </c>
      <c r="T15" s="31">
        <f>PRODUCT($H$14:S14)*T13</f>
        <v>1.9302211296709732E-3</v>
      </c>
      <c r="U15" s="31">
        <f>PRODUCT($H$14:T14)*U13</f>
        <v>2.0488458631474533E-3</v>
      </c>
      <c r="V15" s="31">
        <f>PRODUCT($H$14:U14)*V13</f>
        <v>2.1892034788852373E-3</v>
      </c>
      <c r="W15" s="31">
        <f>PRODUCT($H$14:V14)*W13</f>
        <v>2.3578734756061377E-3</v>
      </c>
      <c r="X15" s="31">
        <f>PRODUCT($H$14:W14)*X13</f>
        <v>2.5574278534318605E-3</v>
      </c>
      <c r="Y15" s="31">
        <f>PRODUCT($H$14:X14)*Y13</f>
        <v>2.7874376839534831E-3</v>
      </c>
      <c r="Z15" s="31">
        <f>PRODUCT($H$14:Y14)*Z13</f>
        <v>3.0435380491763402E-3</v>
      </c>
      <c r="AA15" s="31">
        <f>PRODUCT($H$14:Z14)*AA13</f>
        <v>3.3242437163059782E-3</v>
      </c>
      <c r="AB15" s="31">
        <f>PRODUCT($H$14:AA14)*AB13</f>
        <v>3.6395465557277364E-3</v>
      </c>
      <c r="AC15" s="31">
        <f>PRODUCT($H$14:AB14)*AC13</f>
        <v>3.9895846030373961E-3</v>
      </c>
      <c r="AD15" s="31">
        <f>PRODUCT($H$14:AC14)*AD13</f>
        <v>4.37244890288652E-3</v>
      </c>
      <c r="AE15" s="31">
        <f>PRODUCT($H$14:AD14)*AE13</f>
        <v>4.7813727303693187E-3</v>
      </c>
      <c r="AF15" s="31">
        <f>PRODUCT($H$14:AE14)*AF13</f>
        <v>5.2124272813689008E-3</v>
      </c>
      <c r="AG15" s="31">
        <f>PRODUCT($H$14:AF14)*AG13</f>
        <v>5.6682137074699993E-3</v>
      </c>
      <c r="AH15" s="31">
        <f>PRODUCT($H$14:AG14)*AH13</f>
        <v>6.1483035841791546E-3</v>
      </c>
      <c r="AI15" s="31">
        <f>PRODUCT($H$14:AH14)*AI13</f>
        <v>6.6483922513634573E-3</v>
      </c>
      <c r="AJ15" s="31">
        <f>PRODUCT($H$14:AI14)*AJ13</f>
        <v>7.1816237515849556E-3</v>
      </c>
      <c r="AK15" s="31">
        <f>PRODUCT($H$14:AJ14)*AK13</f>
        <v>7.7330250984720414E-3</v>
      </c>
      <c r="AL15" s="31">
        <f>PRODUCT($H$14:AK14)*AL13</f>
        <v>8.2716514167089361E-3</v>
      </c>
      <c r="AM15" s="31">
        <f>PRODUCT($H$14:AL14)*AM13</f>
        <v>8.7875040082057085E-3</v>
      </c>
      <c r="AN15" s="31">
        <f>PRODUCT($H$14:AM14)*AN13</f>
        <v>9.2968383084999894E-3</v>
      </c>
      <c r="AO15" s="31">
        <f>PRODUCT($H$14:AN14)*AO13</f>
        <v>9.8458840451296145E-3</v>
      </c>
      <c r="AP15" s="31">
        <f>PRODUCT($H$14:AO14)*AP13</f>
        <v>1.0441662671684279E-2</v>
      </c>
      <c r="AQ15" s="31">
        <f>PRODUCT($H$14:AP14)*AQ13</f>
        <v>1.1053329164588266E-2</v>
      </c>
      <c r="AR15" s="31">
        <f>PRODUCT($H$14:AQ14)*AR13</f>
        <v>1.1678538239849946E-2</v>
      </c>
      <c r="AS15" s="31">
        <f>PRODUCT($H$14:AR14)*AS13</f>
        <v>1.2334779125322907E-2</v>
      </c>
      <c r="AT15" s="31">
        <f>PRODUCT($H$14:AS14)*AT13</f>
        <v>1.3061701347534873E-2</v>
      </c>
    </row>
    <row r="16" spans="1:46" x14ac:dyDescent="0.25">
      <c r="B16" s="2" t="s">
        <v>24</v>
      </c>
      <c r="H16" s="36">
        <f>H15*H10</f>
        <v>24.727798377596745</v>
      </c>
      <c r="I16" s="36">
        <f t="shared" ref="I16:AT16" si="8">I15*I10</f>
        <v>25.201383194626295</v>
      </c>
      <c r="J16" s="36">
        <f t="shared" si="8"/>
        <v>25.817649285945265</v>
      </c>
      <c r="K16" s="36">
        <f t="shared" si="8"/>
        <v>26.503465033712452</v>
      </c>
      <c r="L16" s="36">
        <f t="shared" si="8"/>
        <v>27.150101975470029</v>
      </c>
      <c r="M16" s="36">
        <f t="shared" si="8"/>
        <v>27.757701323553022</v>
      </c>
      <c r="N16" s="36">
        <f t="shared" si="8"/>
        <v>28.290447571865357</v>
      </c>
      <c r="O16" s="36">
        <f t="shared" si="8"/>
        <v>28.838519006180995</v>
      </c>
      <c r="P16" s="36">
        <f t="shared" si="8"/>
        <v>29.545176064753953</v>
      </c>
      <c r="Q16" s="36">
        <f t="shared" si="8"/>
        <v>30.498793378202127</v>
      </c>
      <c r="R16" s="36">
        <f t="shared" si="8"/>
        <v>31.697573223252803</v>
      </c>
      <c r="S16" s="36">
        <f t="shared" si="8"/>
        <v>33.193087348629199</v>
      </c>
      <c r="T16" s="36">
        <f t="shared" si="8"/>
        <v>35.018429140631582</v>
      </c>
      <c r="U16" s="36">
        <f t="shared" si="8"/>
        <v>37.170541020310637</v>
      </c>
      <c r="V16" s="36">
        <f t="shared" si="8"/>
        <v>39.716934874106762</v>
      </c>
      <c r="W16" s="36">
        <f t="shared" si="8"/>
        <v>42.776977186112873</v>
      </c>
      <c r="X16" s="36">
        <f t="shared" si="8"/>
        <v>46.397329658777025</v>
      </c>
      <c r="Y16" s="36">
        <f t="shared" si="8"/>
        <v>50.570210593482734</v>
      </c>
      <c r="Z16" s="36">
        <f t="shared" si="8"/>
        <v>55.216430839748099</v>
      </c>
      <c r="AA16" s="36">
        <f t="shared" si="8"/>
        <v>60.309045029205528</v>
      </c>
      <c r="AB16" s="36">
        <f t="shared" si="8"/>
        <v>66.029327524513675</v>
      </c>
      <c r="AC16" s="36">
        <f t="shared" si="8"/>
        <v>72.379782593010319</v>
      </c>
      <c r="AD16" s="36">
        <f t="shared" si="8"/>
        <v>79.325777613295628</v>
      </c>
      <c r="AE16" s="36">
        <f t="shared" si="8"/>
        <v>86.744549409179569</v>
      </c>
      <c r="AF16" s="36">
        <f t="shared" si="8"/>
        <v>94.564820888903085</v>
      </c>
      <c r="AG16" s="36">
        <f t="shared" si="8"/>
        <v>102.83378262615427</v>
      </c>
      <c r="AH16" s="36">
        <f t="shared" si="8"/>
        <v>111.54366206444428</v>
      </c>
      <c r="AI16" s="36">
        <f t="shared" si="8"/>
        <v>120.61636326257671</v>
      </c>
      <c r="AJ16" s="36">
        <f t="shared" si="8"/>
        <v>130.29034787450675</v>
      </c>
      <c r="AK16" s="36">
        <f t="shared" si="8"/>
        <v>140.29397320903291</v>
      </c>
      <c r="AL16" s="36">
        <f t="shared" si="8"/>
        <v>150.06583160832065</v>
      </c>
      <c r="AM16" s="36">
        <f t="shared" si="8"/>
        <v>159.42452484023036</v>
      </c>
      <c r="AN16" s="36">
        <f t="shared" si="8"/>
        <v>168.66496202619609</v>
      </c>
      <c r="AO16" s="36">
        <f t="shared" si="8"/>
        <v>178.6258514432588</v>
      </c>
      <c r="AP16" s="36">
        <f t="shared" si="8"/>
        <v>189.43457760255831</v>
      </c>
      <c r="AQ16" s="36">
        <f t="shared" si="8"/>
        <v>200.53154437501723</v>
      </c>
      <c r="AR16" s="36">
        <f t="shared" si="8"/>
        <v>211.87420318419885</v>
      </c>
      <c r="AS16" s="36">
        <f t="shared" si="8"/>
        <v>223.77984684018634</v>
      </c>
      <c r="AT16" s="36">
        <f t="shared" si="8"/>
        <v>236.96780439488336</v>
      </c>
    </row>
    <row r="17" spans="1:46" x14ac:dyDescent="0.25">
      <c r="B17" s="2" t="s">
        <v>16</v>
      </c>
      <c r="H17" s="37">
        <f>(1+$H$29)^(-H1)</f>
        <v>0.95238095238095233</v>
      </c>
      <c r="I17" s="37">
        <f t="shared" ref="I17:AT17" si="9">(1+$H$29)^(-I1)</f>
        <v>0.90702947845804982</v>
      </c>
      <c r="J17" s="37">
        <f t="shared" si="9"/>
        <v>0.86383759853147601</v>
      </c>
      <c r="K17" s="37">
        <f t="shared" si="9"/>
        <v>0.82270247479188197</v>
      </c>
      <c r="L17" s="37">
        <f t="shared" si="9"/>
        <v>0.78352616646845896</v>
      </c>
      <c r="M17" s="37">
        <f t="shared" si="9"/>
        <v>0.74621539663662761</v>
      </c>
      <c r="N17" s="37">
        <f t="shared" si="9"/>
        <v>0.71068133013012147</v>
      </c>
      <c r="O17" s="37">
        <f t="shared" si="9"/>
        <v>0.67683936202868722</v>
      </c>
      <c r="P17" s="37">
        <f t="shared" si="9"/>
        <v>0.64460891621779726</v>
      </c>
      <c r="Q17" s="37">
        <f t="shared" si="9"/>
        <v>0.61391325354075932</v>
      </c>
      <c r="R17" s="37">
        <f t="shared" si="9"/>
        <v>0.5846792890864374</v>
      </c>
      <c r="S17" s="37">
        <f t="shared" si="9"/>
        <v>0.5568374181775595</v>
      </c>
      <c r="T17" s="37">
        <f t="shared" si="9"/>
        <v>0.53032135064529462</v>
      </c>
      <c r="U17" s="37">
        <f t="shared" si="9"/>
        <v>0.50506795299551888</v>
      </c>
      <c r="V17" s="37">
        <f t="shared" si="9"/>
        <v>0.48101709809097021</v>
      </c>
      <c r="W17" s="37">
        <f t="shared" si="9"/>
        <v>0.45811152199140021</v>
      </c>
      <c r="X17" s="37">
        <f t="shared" si="9"/>
        <v>0.43629668761085727</v>
      </c>
      <c r="Y17" s="37">
        <f t="shared" si="9"/>
        <v>0.41552065486748313</v>
      </c>
      <c r="Z17" s="37">
        <f t="shared" si="9"/>
        <v>0.39573395701665059</v>
      </c>
      <c r="AA17" s="37">
        <f t="shared" si="9"/>
        <v>0.37688948287300061</v>
      </c>
      <c r="AB17" s="37">
        <f t="shared" si="9"/>
        <v>0.35894236464095297</v>
      </c>
      <c r="AC17" s="37">
        <f t="shared" si="9"/>
        <v>0.3418498710866219</v>
      </c>
      <c r="AD17" s="37">
        <f t="shared" si="9"/>
        <v>0.32557130579678267</v>
      </c>
      <c r="AE17" s="37">
        <f t="shared" si="9"/>
        <v>0.31006791028265024</v>
      </c>
      <c r="AF17" s="37">
        <f t="shared" si="9"/>
        <v>0.29530277169776209</v>
      </c>
      <c r="AG17" s="37">
        <f t="shared" si="9"/>
        <v>0.28124073495024959</v>
      </c>
      <c r="AH17" s="37">
        <f t="shared" si="9"/>
        <v>0.2678483190002377</v>
      </c>
      <c r="AI17" s="37">
        <f t="shared" si="9"/>
        <v>0.25509363714308358</v>
      </c>
      <c r="AJ17" s="37">
        <f t="shared" si="9"/>
        <v>0.24294632108865097</v>
      </c>
      <c r="AK17" s="37">
        <f t="shared" si="9"/>
        <v>0.23137744865585813</v>
      </c>
      <c r="AL17" s="37">
        <f t="shared" si="9"/>
        <v>0.220359474910341</v>
      </c>
      <c r="AM17" s="37">
        <f t="shared" si="9"/>
        <v>0.20986616658127716</v>
      </c>
      <c r="AN17" s="37">
        <f t="shared" si="9"/>
        <v>0.19987253960121634</v>
      </c>
      <c r="AO17" s="37">
        <f t="shared" si="9"/>
        <v>0.19035479962020604</v>
      </c>
      <c r="AP17" s="37">
        <f t="shared" si="9"/>
        <v>0.18129028535257716</v>
      </c>
      <c r="AQ17" s="37">
        <f t="shared" si="9"/>
        <v>0.17265741462150208</v>
      </c>
      <c r="AR17" s="37">
        <f t="shared" si="9"/>
        <v>0.1644356329728591</v>
      </c>
      <c r="AS17" s="37">
        <f t="shared" si="9"/>
        <v>0.15660536473605632</v>
      </c>
      <c r="AT17" s="37">
        <f t="shared" si="9"/>
        <v>0.14914796641529171</v>
      </c>
    </row>
    <row r="18" spans="1:46" x14ac:dyDescent="0.25">
      <c r="B18" s="2" t="s">
        <v>18</v>
      </c>
      <c r="H18" s="36">
        <f>H17*H16</f>
        <v>23.550284169139754</v>
      </c>
      <c r="I18" s="36">
        <f t="shared" ref="I18:AT18" si="10">I17*I16</f>
        <v>22.858397455443349</v>
      </c>
      <c r="J18" s="36">
        <f t="shared" si="10"/>
        <v>22.302256158898835</v>
      </c>
      <c r="K18" s="36">
        <f t="shared" si="10"/>
        <v>21.804466273795345</v>
      </c>
      <c r="L18" s="36">
        <f t="shared" si="10"/>
        <v>21.272815320067767</v>
      </c>
      <c r="M18" s="36">
        <f t="shared" si="10"/>
        <v>20.713224102876161</v>
      </c>
      <c r="N18" s="36">
        <f t="shared" si="10"/>
        <v>20.105492910349739</v>
      </c>
      <c r="O18" s="36">
        <f t="shared" si="10"/>
        <v>19.519044805995716</v>
      </c>
      <c r="P18" s="36">
        <f t="shared" si="10"/>
        <v>19.045083922565048</v>
      </c>
      <c r="Q18" s="36">
        <f t="shared" si="10"/>
        <v>18.723613471879432</v>
      </c>
      <c r="R18" s="36">
        <f t="shared" si="10"/>
        <v>18.532914577936744</v>
      </c>
      <c r="S18" s="36">
        <f t="shared" si="10"/>
        <v>18.483153060552898</v>
      </c>
      <c r="T18" s="36">
        <f t="shared" si="10"/>
        <v>18.571020639336286</v>
      </c>
      <c r="U18" s="36">
        <f t="shared" si="10"/>
        <v>18.773649064864259</v>
      </c>
      <c r="V18" s="36">
        <f t="shared" si="10"/>
        <v>19.104524758210889</v>
      </c>
      <c r="W18" s="36">
        <f t="shared" si="10"/>
        <v>19.596626124921574</v>
      </c>
      <c r="X18" s="36">
        <f t="shared" si="10"/>
        <v>20.243001244113401</v>
      </c>
      <c r="Y18" s="36">
        <f t="shared" si="10"/>
        <v>21.012967022590477</v>
      </c>
      <c r="Z18" s="36">
        <f t="shared" si="10"/>
        <v>21.851016668549736</v>
      </c>
      <c r="AA18" s="36">
        <f t="shared" si="10"/>
        <v>22.72984479362178</v>
      </c>
      <c r="AB18" s="36">
        <f t="shared" si="10"/>
        <v>23.700722957300901</v>
      </c>
      <c r="AC18" s="36">
        <f t="shared" si="10"/>
        <v>24.743019348698297</v>
      </c>
      <c r="AD18" s="36">
        <f t="shared" si="10"/>
        <v>25.826197000905847</v>
      </c>
      <c r="AE18" s="36">
        <f t="shared" si="10"/>
        <v>26.896701163714411</v>
      </c>
      <c r="AF18" s="36">
        <f t="shared" si="10"/>
        <v>27.925253713595513</v>
      </c>
      <c r="AG18" s="36">
        <f t="shared" si="10"/>
        <v>28.921048603493837</v>
      </c>
      <c r="AH18" s="36">
        <f t="shared" si="10"/>
        <v>29.876782379091985</v>
      </c>
      <c r="AI18" s="36">
        <f t="shared" si="10"/>
        <v>30.768466803622101</v>
      </c>
      <c r="AJ18" s="36">
        <f t="shared" si="10"/>
        <v>31.653560689471949</v>
      </c>
      <c r="AK18" s="36">
        <f t="shared" si="10"/>
        <v>32.460861582899348</v>
      </c>
      <c r="AL18" s="36">
        <f t="shared" si="10"/>
        <v>33.068427855193192</v>
      </c>
      <c r="AM18" s="36">
        <f t="shared" si="10"/>
        <v>33.457813887260741</v>
      </c>
      <c r="AN18" s="36">
        <f t="shared" si="10"/>
        <v>33.711494301918528</v>
      </c>
      <c r="AO18" s="36">
        <f t="shared" si="10"/>
        <v>34.002288158470222</v>
      </c>
      <c r="AP18" s="36">
        <f t="shared" si="10"/>
        <v>34.342648629212718</v>
      </c>
      <c r="AQ18" s="36">
        <f t="shared" si="10"/>
        <v>34.623258001847496</v>
      </c>
      <c r="AR18" s="36">
        <f t="shared" si="10"/>
        <v>34.839668711213896</v>
      </c>
      <c r="AS18" s="36">
        <f t="shared" si="10"/>
        <v>35.045124534986201</v>
      </c>
      <c r="AT18" s="36">
        <f t="shared" si="10"/>
        <v>35.343266131393477</v>
      </c>
    </row>
    <row r="20" spans="1:46" ht="13" x14ac:dyDescent="0.3">
      <c r="B20" s="1" t="s">
        <v>19</v>
      </c>
      <c r="C20" s="1"/>
      <c r="D20" s="1"/>
      <c r="E20" s="1"/>
      <c r="F20" s="1"/>
      <c r="G20" s="32">
        <f>SUM(H18:AT18)</f>
        <v>1000.0000009999999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</row>
    <row r="23" spans="1:46" x14ac:dyDescent="0.25">
      <c r="B23" s="4" t="s">
        <v>21</v>
      </c>
    </row>
    <row r="25" spans="1:46" x14ac:dyDescent="0.25">
      <c r="C25" s="2" t="s">
        <v>1</v>
      </c>
      <c r="H25" s="34"/>
      <c r="I25" s="19">
        <v>0.04</v>
      </c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</row>
    <row r="26" spans="1:46" x14ac:dyDescent="0.25">
      <c r="A26" s="2" t="s">
        <v>20</v>
      </c>
      <c r="B26" s="23"/>
      <c r="C26" s="2" t="s">
        <v>3</v>
      </c>
      <c r="H26" s="21">
        <f>H10</f>
        <v>18142.185163313825</v>
      </c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</row>
    <row r="27" spans="1:46" x14ac:dyDescent="0.25">
      <c r="A27" s="2" t="s">
        <v>20</v>
      </c>
      <c r="B27" s="23"/>
      <c r="C27" s="2" t="s">
        <v>4</v>
      </c>
      <c r="H27" s="18">
        <v>1.5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</row>
    <row r="28" spans="1:46" ht="15.5" x14ac:dyDescent="0.4">
      <c r="C28" s="2" t="s">
        <v>7</v>
      </c>
      <c r="H28" s="33" t="s">
        <v>28</v>
      </c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</row>
    <row r="29" spans="1:46" x14ac:dyDescent="0.25">
      <c r="C29" s="2" t="s">
        <v>22</v>
      </c>
      <c r="H29" s="19">
        <v>0.05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</row>
    <row r="32" spans="1:46" ht="13" x14ac:dyDescent="0.3">
      <c r="B32" s="39" t="s">
        <v>30</v>
      </c>
    </row>
    <row r="33" spans="3:3" x14ac:dyDescent="0.25">
      <c r="C33" s="2" t="s">
        <v>31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21288-0688-451B-93E8-1123E9A2C617}">
  <dimension ref="A1:AT33"/>
  <sheetViews>
    <sheetView topLeftCell="A18" zoomScaleNormal="100" workbookViewId="0">
      <selection activeCell="C34" sqref="C34"/>
    </sheetView>
  </sheetViews>
  <sheetFormatPr defaultColWidth="9.1640625" defaultRowHeight="12.5" x14ac:dyDescent="0.25"/>
  <cols>
    <col min="1" max="1" width="9.1640625" style="2"/>
    <col min="2" max="2" width="4" style="2" customWidth="1"/>
    <col min="3" max="4" width="9.1640625" style="2"/>
    <col min="5" max="5" width="12.83203125" style="2" bestFit="1" customWidth="1"/>
    <col min="6" max="6" width="9.1640625" style="2"/>
    <col min="7" max="7" width="26.5" style="2" customWidth="1"/>
    <col min="8" max="8" width="15.5" style="2" bestFit="1" customWidth="1"/>
    <col min="9" max="25" width="12.25" style="2" bestFit="1" customWidth="1"/>
    <col min="26" max="46" width="14" style="2" bestFit="1" customWidth="1"/>
    <col min="47" max="16384" width="9.1640625" style="2"/>
  </cols>
  <sheetData>
    <row r="1" spans="1:46" x14ac:dyDescent="0.25">
      <c r="G1" s="15" t="s">
        <v>17</v>
      </c>
      <c r="H1" s="2">
        <v>1</v>
      </c>
      <c r="I1" s="2">
        <f>H1+1</f>
        <v>2</v>
      </c>
      <c r="J1" s="2">
        <f t="shared" ref="J1:AT1" si="0">I1+1</f>
        <v>3</v>
      </c>
      <c r="K1" s="2">
        <f t="shared" si="0"/>
        <v>4</v>
      </c>
      <c r="L1" s="2">
        <f t="shared" si="0"/>
        <v>5</v>
      </c>
      <c r="M1" s="2">
        <f t="shared" si="0"/>
        <v>6</v>
      </c>
      <c r="N1" s="2">
        <f t="shared" si="0"/>
        <v>7</v>
      </c>
      <c r="O1" s="2">
        <f t="shared" si="0"/>
        <v>8</v>
      </c>
      <c r="P1" s="2">
        <f t="shared" si="0"/>
        <v>9</v>
      </c>
      <c r="Q1" s="2">
        <f t="shared" si="0"/>
        <v>10</v>
      </c>
      <c r="R1" s="2">
        <f t="shared" si="0"/>
        <v>11</v>
      </c>
      <c r="S1" s="2">
        <f t="shared" si="0"/>
        <v>12</v>
      </c>
      <c r="T1" s="2">
        <f t="shared" si="0"/>
        <v>13</v>
      </c>
      <c r="U1" s="2">
        <f t="shared" si="0"/>
        <v>14</v>
      </c>
      <c r="V1" s="2">
        <f t="shared" si="0"/>
        <v>15</v>
      </c>
      <c r="W1" s="2">
        <f t="shared" si="0"/>
        <v>16</v>
      </c>
      <c r="X1" s="2">
        <f t="shared" si="0"/>
        <v>17</v>
      </c>
      <c r="Y1" s="2">
        <f t="shared" si="0"/>
        <v>18</v>
      </c>
      <c r="Z1" s="2">
        <f t="shared" si="0"/>
        <v>19</v>
      </c>
      <c r="AA1" s="2">
        <f t="shared" si="0"/>
        <v>20</v>
      </c>
      <c r="AB1" s="2">
        <f t="shared" si="0"/>
        <v>21</v>
      </c>
      <c r="AC1" s="2">
        <f t="shared" si="0"/>
        <v>22</v>
      </c>
      <c r="AD1" s="2">
        <f t="shared" si="0"/>
        <v>23</v>
      </c>
      <c r="AE1" s="2">
        <f t="shared" si="0"/>
        <v>24</v>
      </c>
      <c r="AF1" s="2">
        <f t="shared" si="0"/>
        <v>25</v>
      </c>
      <c r="AG1" s="2">
        <f t="shared" si="0"/>
        <v>26</v>
      </c>
      <c r="AH1" s="2">
        <f t="shared" si="0"/>
        <v>27</v>
      </c>
      <c r="AI1" s="2">
        <f t="shared" si="0"/>
        <v>28</v>
      </c>
      <c r="AJ1" s="2">
        <f t="shared" si="0"/>
        <v>29</v>
      </c>
      <c r="AK1" s="2">
        <f t="shared" si="0"/>
        <v>30</v>
      </c>
      <c r="AL1" s="2">
        <f t="shared" si="0"/>
        <v>31</v>
      </c>
      <c r="AM1" s="2">
        <f t="shared" si="0"/>
        <v>32</v>
      </c>
      <c r="AN1" s="2">
        <f t="shared" si="0"/>
        <v>33</v>
      </c>
      <c r="AO1" s="2">
        <f t="shared" si="0"/>
        <v>34</v>
      </c>
      <c r="AP1" s="2">
        <f t="shared" si="0"/>
        <v>35</v>
      </c>
      <c r="AQ1" s="2">
        <f t="shared" si="0"/>
        <v>36</v>
      </c>
      <c r="AR1" s="2">
        <f t="shared" si="0"/>
        <v>37</v>
      </c>
      <c r="AS1" s="2">
        <f t="shared" si="0"/>
        <v>38</v>
      </c>
      <c r="AT1" s="2">
        <f t="shared" si="0"/>
        <v>39</v>
      </c>
    </row>
    <row r="2" spans="1:46" ht="13" x14ac:dyDescent="0.3">
      <c r="A2" s="5"/>
      <c r="G2" s="15" t="s">
        <v>27</v>
      </c>
      <c r="H2" s="14">
        <v>27</v>
      </c>
      <c r="I2" s="2">
        <f t="shared" ref="I2:AT2" si="1">H2+1</f>
        <v>28</v>
      </c>
      <c r="J2" s="2">
        <f t="shared" si="1"/>
        <v>29</v>
      </c>
      <c r="K2" s="2">
        <f t="shared" si="1"/>
        <v>30</v>
      </c>
      <c r="L2" s="2">
        <f t="shared" si="1"/>
        <v>31</v>
      </c>
      <c r="M2" s="2">
        <f t="shared" si="1"/>
        <v>32</v>
      </c>
      <c r="N2" s="2">
        <f t="shared" si="1"/>
        <v>33</v>
      </c>
      <c r="O2" s="2">
        <f t="shared" si="1"/>
        <v>34</v>
      </c>
      <c r="P2" s="2">
        <f t="shared" si="1"/>
        <v>35</v>
      </c>
      <c r="Q2" s="2">
        <f t="shared" si="1"/>
        <v>36</v>
      </c>
      <c r="R2" s="2">
        <f t="shared" si="1"/>
        <v>37</v>
      </c>
      <c r="S2" s="2">
        <f t="shared" si="1"/>
        <v>38</v>
      </c>
      <c r="T2" s="2">
        <f t="shared" si="1"/>
        <v>39</v>
      </c>
      <c r="U2" s="2">
        <f t="shared" si="1"/>
        <v>40</v>
      </c>
      <c r="V2" s="2">
        <f t="shared" si="1"/>
        <v>41</v>
      </c>
      <c r="W2" s="2">
        <f t="shared" si="1"/>
        <v>42</v>
      </c>
      <c r="X2" s="2">
        <f t="shared" si="1"/>
        <v>43</v>
      </c>
      <c r="Y2" s="2">
        <f t="shared" si="1"/>
        <v>44</v>
      </c>
      <c r="Z2" s="2">
        <f t="shared" si="1"/>
        <v>45</v>
      </c>
      <c r="AA2" s="2">
        <f t="shared" si="1"/>
        <v>46</v>
      </c>
      <c r="AB2" s="2">
        <f t="shared" si="1"/>
        <v>47</v>
      </c>
      <c r="AC2" s="2">
        <f t="shared" si="1"/>
        <v>48</v>
      </c>
      <c r="AD2" s="2">
        <f t="shared" si="1"/>
        <v>49</v>
      </c>
      <c r="AE2" s="2">
        <f t="shared" si="1"/>
        <v>50</v>
      </c>
      <c r="AF2" s="2">
        <f t="shared" si="1"/>
        <v>51</v>
      </c>
      <c r="AG2" s="2">
        <f t="shared" si="1"/>
        <v>52</v>
      </c>
      <c r="AH2" s="2">
        <f t="shared" si="1"/>
        <v>53</v>
      </c>
      <c r="AI2" s="2">
        <f t="shared" si="1"/>
        <v>54</v>
      </c>
      <c r="AJ2" s="2">
        <f t="shared" si="1"/>
        <v>55</v>
      </c>
      <c r="AK2" s="2">
        <f t="shared" si="1"/>
        <v>56</v>
      </c>
      <c r="AL2" s="2">
        <f t="shared" si="1"/>
        <v>57</v>
      </c>
      <c r="AM2" s="2">
        <f t="shared" si="1"/>
        <v>58</v>
      </c>
      <c r="AN2" s="2">
        <f t="shared" si="1"/>
        <v>59</v>
      </c>
      <c r="AO2" s="2">
        <f t="shared" si="1"/>
        <v>60</v>
      </c>
      <c r="AP2" s="2">
        <f t="shared" si="1"/>
        <v>61</v>
      </c>
      <c r="AQ2" s="2">
        <f t="shared" si="1"/>
        <v>62</v>
      </c>
      <c r="AR2" s="2">
        <f t="shared" si="1"/>
        <v>63</v>
      </c>
      <c r="AS2" s="2">
        <f t="shared" si="1"/>
        <v>64</v>
      </c>
      <c r="AT2" s="2">
        <f t="shared" si="1"/>
        <v>65</v>
      </c>
    </row>
    <row r="3" spans="1:46" x14ac:dyDescent="0.25">
      <c r="H3" s="9"/>
      <c r="I3" s="9" t="s">
        <v>0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</row>
    <row r="4" spans="1:46" x14ac:dyDescent="0.25">
      <c r="H4" s="10">
        <v>2017</v>
      </c>
      <c r="I4" s="11">
        <f>H4+1</f>
        <v>2018</v>
      </c>
      <c r="J4" s="11">
        <f t="shared" ref="J4:AT4" si="2">I4+1</f>
        <v>2019</v>
      </c>
      <c r="K4" s="11">
        <f t="shared" si="2"/>
        <v>2020</v>
      </c>
      <c r="L4" s="11">
        <f t="shared" si="2"/>
        <v>2021</v>
      </c>
      <c r="M4" s="11">
        <f t="shared" si="2"/>
        <v>2022</v>
      </c>
      <c r="N4" s="11">
        <f t="shared" si="2"/>
        <v>2023</v>
      </c>
      <c r="O4" s="11">
        <f t="shared" si="2"/>
        <v>2024</v>
      </c>
      <c r="P4" s="11">
        <f t="shared" si="2"/>
        <v>2025</v>
      </c>
      <c r="Q4" s="11">
        <f t="shared" si="2"/>
        <v>2026</v>
      </c>
      <c r="R4" s="11">
        <f t="shared" si="2"/>
        <v>2027</v>
      </c>
      <c r="S4" s="11">
        <f t="shared" si="2"/>
        <v>2028</v>
      </c>
      <c r="T4" s="11">
        <f t="shared" si="2"/>
        <v>2029</v>
      </c>
      <c r="U4" s="11">
        <f t="shared" si="2"/>
        <v>2030</v>
      </c>
      <c r="V4" s="11">
        <f t="shared" si="2"/>
        <v>2031</v>
      </c>
      <c r="W4" s="11">
        <f t="shared" si="2"/>
        <v>2032</v>
      </c>
      <c r="X4" s="11">
        <f t="shared" si="2"/>
        <v>2033</v>
      </c>
      <c r="Y4" s="11">
        <f t="shared" si="2"/>
        <v>2034</v>
      </c>
      <c r="Z4" s="11">
        <f t="shared" si="2"/>
        <v>2035</v>
      </c>
      <c r="AA4" s="11">
        <f t="shared" si="2"/>
        <v>2036</v>
      </c>
      <c r="AB4" s="11">
        <f t="shared" si="2"/>
        <v>2037</v>
      </c>
      <c r="AC4" s="11">
        <f t="shared" si="2"/>
        <v>2038</v>
      </c>
      <c r="AD4" s="11">
        <f t="shared" si="2"/>
        <v>2039</v>
      </c>
      <c r="AE4" s="11">
        <f t="shared" si="2"/>
        <v>2040</v>
      </c>
      <c r="AF4" s="11">
        <f t="shared" si="2"/>
        <v>2041</v>
      </c>
      <c r="AG4" s="11">
        <f t="shared" si="2"/>
        <v>2042</v>
      </c>
      <c r="AH4" s="11">
        <f t="shared" si="2"/>
        <v>2043</v>
      </c>
      <c r="AI4" s="11">
        <f t="shared" si="2"/>
        <v>2044</v>
      </c>
      <c r="AJ4" s="11">
        <f t="shared" si="2"/>
        <v>2045</v>
      </c>
      <c r="AK4" s="11">
        <f t="shared" si="2"/>
        <v>2046</v>
      </c>
      <c r="AL4" s="11">
        <f t="shared" si="2"/>
        <v>2047</v>
      </c>
      <c r="AM4" s="11">
        <f t="shared" si="2"/>
        <v>2048</v>
      </c>
      <c r="AN4" s="11">
        <f t="shared" si="2"/>
        <v>2049</v>
      </c>
      <c r="AO4" s="11">
        <f t="shared" si="2"/>
        <v>2050</v>
      </c>
      <c r="AP4" s="11">
        <f t="shared" si="2"/>
        <v>2051</v>
      </c>
      <c r="AQ4" s="11">
        <f t="shared" si="2"/>
        <v>2052</v>
      </c>
      <c r="AR4" s="11">
        <f t="shared" si="2"/>
        <v>2053</v>
      </c>
      <c r="AS4" s="11">
        <f t="shared" si="2"/>
        <v>2054</v>
      </c>
      <c r="AT4" s="11">
        <f t="shared" si="2"/>
        <v>2055</v>
      </c>
    </row>
    <row r="5" spans="1:46" x14ac:dyDescent="0.25"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</row>
    <row r="6" spans="1:46" ht="13" x14ac:dyDescent="0.3">
      <c r="B6" s="3" t="s">
        <v>26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</row>
    <row r="7" spans="1:46" x14ac:dyDescent="0.25">
      <c r="B7" s="2" t="s">
        <v>29</v>
      </c>
      <c r="H7" s="6">
        <v>120000</v>
      </c>
      <c r="I7" s="13">
        <f>H7*(1+$I$25)</f>
        <v>124800</v>
      </c>
      <c r="J7" s="13">
        <f>I7*(1+$I$25)</f>
        <v>129792</v>
      </c>
      <c r="K7" s="13">
        <f t="shared" ref="K7:AT7" si="3">J7*(1+$I$25)</f>
        <v>134983.67999999999</v>
      </c>
      <c r="L7" s="13">
        <f t="shared" si="3"/>
        <v>140383.02720000001</v>
      </c>
      <c r="M7" s="13">
        <f t="shared" si="3"/>
        <v>145998.34828800001</v>
      </c>
      <c r="N7" s="13">
        <f t="shared" si="3"/>
        <v>151838.28221952001</v>
      </c>
      <c r="O7" s="13">
        <f t="shared" si="3"/>
        <v>157911.81350830081</v>
      </c>
      <c r="P7" s="13">
        <f t="shared" si="3"/>
        <v>164228.28604863284</v>
      </c>
      <c r="Q7" s="13">
        <f t="shared" si="3"/>
        <v>170797.41749057817</v>
      </c>
      <c r="R7" s="13">
        <f t="shared" si="3"/>
        <v>177629.31419020132</v>
      </c>
      <c r="S7" s="13">
        <f t="shared" si="3"/>
        <v>184734.48675780938</v>
      </c>
      <c r="T7" s="13">
        <f t="shared" si="3"/>
        <v>192123.86622812177</v>
      </c>
      <c r="U7" s="13">
        <f t="shared" si="3"/>
        <v>199808.82087724665</v>
      </c>
      <c r="V7" s="13">
        <f t="shared" si="3"/>
        <v>207801.17371233652</v>
      </c>
      <c r="W7" s="13">
        <f t="shared" si="3"/>
        <v>216113.22066082997</v>
      </c>
      <c r="X7" s="13">
        <f t="shared" si="3"/>
        <v>224757.74948726318</v>
      </c>
      <c r="Y7" s="13">
        <f t="shared" si="3"/>
        <v>233748.05946675371</v>
      </c>
      <c r="Z7" s="13">
        <f t="shared" si="3"/>
        <v>243097.98184542387</v>
      </c>
      <c r="AA7" s="13">
        <f t="shared" si="3"/>
        <v>252821.90111924082</v>
      </c>
      <c r="AB7" s="13">
        <f t="shared" si="3"/>
        <v>262934.77716401045</v>
      </c>
      <c r="AC7" s="13">
        <f t="shared" si="3"/>
        <v>273452.16825057089</v>
      </c>
      <c r="AD7" s="13">
        <f t="shared" si="3"/>
        <v>284390.25498059375</v>
      </c>
      <c r="AE7" s="13">
        <f t="shared" si="3"/>
        <v>295765.86517981748</v>
      </c>
      <c r="AF7" s="13">
        <f t="shared" si="3"/>
        <v>307596.49978701019</v>
      </c>
      <c r="AG7" s="13">
        <f t="shared" si="3"/>
        <v>319900.35977849062</v>
      </c>
      <c r="AH7" s="13">
        <f t="shared" si="3"/>
        <v>332696.37416963023</v>
      </c>
      <c r="AI7" s="13">
        <f t="shared" si="3"/>
        <v>346004.22913641547</v>
      </c>
      <c r="AJ7" s="13">
        <f t="shared" si="3"/>
        <v>359844.39830187208</v>
      </c>
      <c r="AK7" s="13">
        <f t="shared" si="3"/>
        <v>374238.17423394695</v>
      </c>
      <c r="AL7" s="13">
        <f t="shared" si="3"/>
        <v>389207.70120330487</v>
      </c>
      <c r="AM7" s="13">
        <f t="shared" si="3"/>
        <v>404776.00925143709</v>
      </c>
      <c r="AN7" s="13">
        <f t="shared" si="3"/>
        <v>420967.0496214946</v>
      </c>
      <c r="AO7" s="13">
        <f t="shared" si="3"/>
        <v>437805.73160635441</v>
      </c>
      <c r="AP7" s="13">
        <f t="shared" si="3"/>
        <v>455317.96087060863</v>
      </c>
      <c r="AQ7" s="13">
        <f t="shared" si="3"/>
        <v>473530.679305433</v>
      </c>
      <c r="AR7" s="13">
        <f t="shared" si="3"/>
        <v>492471.90647765034</v>
      </c>
      <c r="AS7" s="13">
        <f t="shared" si="3"/>
        <v>512170.78273675637</v>
      </c>
      <c r="AT7" s="13">
        <f t="shared" si="3"/>
        <v>532657.6140462266</v>
      </c>
    </row>
    <row r="8" spans="1:46" x14ac:dyDescent="0.25"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</row>
    <row r="9" spans="1:46" ht="13" x14ac:dyDescent="0.3">
      <c r="B9" s="3" t="s">
        <v>2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</row>
    <row r="10" spans="1:46" x14ac:dyDescent="0.25">
      <c r="B10" s="2" t="s">
        <v>3</v>
      </c>
      <c r="H10" s="36">
        <v>60000</v>
      </c>
      <c r="I10" s="36">
        <v>60000</v>
      </c>
      <c r="J10" s="36">
        <v>60000</v>
      </c>
      <c r="K10" s="36">
        <v>60000</v>
      </c>
      <c r="L10" s="36">
        <v>60000</v>
      </c>
      <c r="M10" s="36">
        <v>60000</v>
      </c>
      <c r="N10" s="36">
        <v>60000</v>
      </c>
      <c r="O10" s="36">
        <v>60000</v>
      </c>
      <c r="P10" s="36">
        <v>60000</v>
      </c>
      <c r="Q10" s="36">
        <v>60000</v>
      </c>
      <c r="R10" s="36">
        <v>60000</v>
      </c>
      <c r="S10" s="36">
        <v>60000</v>
      </c>
      <c r="T10" s="36">
        <v>60000</v>
      </c>
      <c r="U10" s="36">
        <v>60000</v>
      </c>
      <c r="V10" s="36">
        <v>60000</v>
      </c>
      <c r="W10" s="36">
        <v>60000</v>
      </c>
      <c r="X10" s="36">
        <v>60000</v>
      </c>
      <c r="Y10" s="36">
        <v>60000</v>
      </c>
      <c r="Z10" s="36">
        <v>60000</v>
      </c>
      <c r="AA10" s="36">
        <v>60000</v>
      </c>
      <c r="AB10" s="36">
        <v>60000</v>
      </c>
      <c r="AC10" s="36">
        <v>60000</v>
      </c>
      <c r="AD10" s="36">
        <v>60000</v>
      </c>
      <c r="AE10" s="36">
        <v>60000</v>
      </c>
      <c r="AF10" s="36">
        <v>60000</v>
      </c>
      <c r="AG10" s="36">
        <v>60000</v>
      </c>
      <c r="AH10" s="36">
        <v>60000</v>
      </c>
      <c r="AI10" s="36">
        <v>60000</v>
      </c>
      <c r="AJ10" s="36">
        <v>60000</v>
      </c>
      <c r="AK10" s="36">
        <v>60000</v>
      </c>
      <c r="AL10" s="36">
        <v>60000</v>
      </c>
      <c r="AM10" s="36">
        <v>60000</v>
      </c>
      <c r="AN10" s="36">
        <v>60000</v>
      </c>
      <c r="AO10" s="36">
        <v>60000</v>
      </c>
      <c r="AP10" s="36">
        <v>60000</v>
      </c>
      <c r="AQ10" s="36">
        <v>60000</v>
      </c>
      <c r="AR10" s="36">
        <v>60000</v>
      </c>
      <c r="AS10" s="36">
        <v>60000</v>
      </c>
      <c r="AT10" s="36">
        <v>60000</v>
      </c>
    </row>
    <row r="11" spans="1:46" x14ac:dyDescent="0.25">
      <c r="B11" s="2" t="s">
        <v>5</v>
      </c>
      <c r="H11" s="36">
        <f>H7*$H$27</f>
        <v>7150.6211383952968</v>
      </c>
      <c r="I11" s="36">
        <f t="shared" ref="I11:AT11" si="4">I7*$H$27</f>
        <v>7436.6459839311083</v>
      </c>
      <c r="J11" s="36">
        <f t="shared" si="4"/>
        <v>7734.1118232883528</v>
      </c>
      <c r="K11" s="36">
        <f t="shared" si="4"/>
        <v>8043.4762962198865</v>
      </c>
      <c r="L11" s="36">
        <f t="shared" si="4"/>
        <v>8365.2153480686829</v>
      </c>
      <c r="M11" s="36">
        <f t="shared" si="4"/>
        <v>8699.8239619914311</v>
      </c>
      <c r="N11" s="36">
        <f t="shared" si="4"/>
        <v>9047.8169204710885</v>
      </c>
      <c r="O11" s="36">
        <f t="shared" si="4"/>
        <v>9409.7295972899301</v>
      </c>
      <c r="P11" s="36">
        <f t="shared" si="4"/>
        <v>9786.1187811815289</v>
      </c>
      <c r="Q11" s="36">
        <f t="shared" si="4"/>
        <v>10177.56353242879</v>
      </c>
      <c r="R11" s="36">
        <f t="shared" si="4"/>
        <v>10584.666073725943</v>
      </c>
      <c r="S11" s="36">
        <f t="shared" si="4"/>
        <v>11008.052716674982</v>
      </c>
      <c r="T11" s="36">
        <f t="shared" si="4"/>
        <v>11448.374825341982</v>
      </c>
      <c r="U11" s="36">
        <f t="shared" si="4"/>
        <v>11906.309818355661</v>
      </c>
      <c r="V11" s="36">
        <f t="shared" si="4"/>
        <v>12382.562211089888</v>
      </c>
      <c r="W11" s="36">
        <f t="shared" si="4"/>
        <v>12877.864699533484</v>
      </c>
      <c r="X11" s="36">
        <f t="shared" si="4"/>
        <v>13392.979287514823</v>
      </c>
      <c r="Y11" s="36">
        <f t="shared" si="4"/>
        <v>13928.698459015415</v>
      </c>
      <c r="Z11" s="36">
        <f t="shared" si="4"/>
        <v>14485.846397376034</v>
      </c>
      <c r="AA11" s="36">
        <f t="shared" si="4"/>
        <v>15065.280253271074</v>
      </c>
      <c r="AB11" s="36">
        <f t="shared" si="4"/>
        <v>15667.891463401917</v>
      </c>
      <c r="AC11" s="36">
        <f t="shared" si="4"/>
        <v>16294.607121937996</v>
      </c>
      <c r="AD11" s="36">
        <f t="shared" si="4"/>
        <v>16946.391406815517</v>
      </c>
      <c r="AE11" s="36">
        <f t="shared" si="4"/>
        <v>17624.247063088136</v>
      </c>
      <c r="AF11" s="36">
        <f t="shared" si="4"/>
        <v>18329.216945611661</v>
      </c>
      <c r="AG11" s="36">
        <f t="shared" si="4"/>
        <v>19062.38562343613</v>
      </c>
      <c r="AH11" s="36">
        <f t="shared" si="4"/>
        <v>19824.881048373572</v>
      </c>
      <c r="AI11" s="36">
        <f t="shared" si="4"/>
        <v>20617.876290308519</v>
      </c>
      <c r="AJ11" s="36">
        <f t="shared" si="4"/>
        <v>21442.591341920859</v>
      </c>
      <c r="AK11" s="36">
        <f t="shared" si="4"/>
        <v>22300.294995597691</v>
      </c>
      <c r="AL11" s="36">
        <f t="shared" si="4"/>
        <v>23192.306795421602</v>
      </c>
      <c r="AM11" s="36">
        <f t="shared" si="4"/>
        <v>24119.99906723847</v>
      </c>
      <c r="AN11" s="36">
        <f t="shared" si="4"/>
        <v>25084.79902992801</v>
      </c>
      <c r="AO11" s="36">
        <f t="shared" si="4"/>
        <v>26088.190991125131</v>
      </c>
      <c r="AP11" s="36">
        <f t="shared" si="4"/>
        <v>27131.718630770138</v>
      </c>
      <c r="AQ11" s="36">
        <f t="shared" si="4"/>
        <v>28216.987376000947</v>
      </c>
      <c r="AR11" s="36">
        <f t="shared" si="4"/>
        <v>29345.666871040983</v>
      </c>
      <c r="AS11" s="36">
        <f t="shared" si="4"/>
        <v>30519.493545882626</v>
      </c>
      <c r="AT11" s="36">
        <f t="shared" si="4"/>
        <v>31740.27328771793</v>
      </c>
    </row>
    <row r="12" spans="1:46" x14ac:dyDescent="0.25">
      <c r="B12" s="2" t="s">
        <v>33</v>
      </c>
      <c r="H12" s="36">
        <f>H11</f>
        <v>7150.6211383952968</v>
      </c>
      <c r="I12" s="36">
        <f t="shared" ref="I12:AT12" si="5">I11</f>
        <v>7436.6459839311083</v>
      </c>
      <c r="J12" s="36">
        <f t="shared" si="5"/>
        <v>7734.1118232883528</v>
      </c>
      <c r="K12" s="36">
        <f t="shared" si="5"/>
        <v>8043.4762962198865</v>
      </c>
      <c r="L12" s="36">
        <f t="shared" si="5"/>
        <v>8365.2153480686829</v>
      </c>
      <c r="M12" s="36">
        <f t="shared" si="5"/>
        <v>8699.8239619914311</v>
      </c>
      <c r="N12" s="36">
        <f t="shared" si="5"/>
        <v>9047.8169204710885</v>
      </c>
      <c r="O12" s="36">
        <f t="shared" si="5"/>
        <v>9409.7295972899301</v>
      </c>
      <c r="P12" s="36">
        <f t="shared" si="5"/>
        <v>9786.1187811815289</v>
      </c>
      <c r="Q12" s="36">
        <f t="shared" si="5"/>
        <v>10177.56353242879</v>
      </c>
      <c r="R12" s="36">
        <f t="shared" si="5"/>
        <v>10584.666073725943</v>
      </c>
      <c r="S12" s="36">
        <f t="shared" si="5"/>
        <v>11008.052716674982</v>
      </c>
      <c r="T12" s="36">
        <f t="shared" si="5"/>
        <v>11448.374825341982</v>
      </c>
      <c r="U12" s="36">
        <f t="shared" si="5"/>
        <v>11906.309818355661</v>
      </c>
      <c r="V12" s="36">
        <f t="shared" si="5"/>
        <v>12382.562211089888</v>
      </c>
      <c r="W12" s="36">
        <f t="shared" si="5"/>
        <v>12877.864699533484</v>
      </c>
      <c r="X12" s="36">
        <f t="shared" si="5"/>
        <v>13392.979287514823</v>
      </c>
      <c r="Y12" s="36">
        <f t="shared" si="5"/>
        <v>13928.698459015415</v>
      </c>
      <c r="Z12" s="36">
        <f t="shared" si="5"/>
        <v>14485.846397376034</v>
      </c>
      <c r="AA12" s="36">
        <f t="shared" si="5"/>
        <v>15065.280253271074</v>
      </c>
      <c r="AB12" s="36">
        <f t="shared" si="5"/>
        <v>15667.891463401917</v>
      </c>
      <c r="AC12" s="36">
        <f t="shared" si="5"/>
        <v>16294.607121937996</v>
      </c>
      <c r="AD12" s="36">
        <f t="shared" si="5"/>
        <v>16946.391406815517</v>
      </c>
      <c r="AE12" s="36">
        <f t="shared" si="5"/>
        <v>17624.247063088136</v>
      </c>
      <c r="AF12" s="36">
        <f t="shared" si="5"/>
        <v>18329.216945611661</v>
      </c>
      <c r="AG12" s="36">
        <f t="shared" si="5"/>
        <v>19062.38562343613</v>
      </c>
      <c r="AH12" s="36">
        <f t="shared" si="5"/>
        <v>19824.881048373572</v>
      </c>
      <c r="AI12" s="36">
        <f t="shared" si="5"/>
        <v>20617.876290308519</v>
      </c>
      <c r="AJ12" s="36">
        <f t="shared" si="5"/>
        <v>21442.591341920859</v>
      </c>
      <c r="AK12" s="36">
        <f t="shared" si="5"/>
        <v>22300.294995597691</v>
      </c>
      <c r="AL12" s="36">
        <f t="shared" si="5"/>
        <v>23192.306795421602</v>
      </c>
      <c r="AM12" s="36">
        <f t="shared" si="5"/>
        <v>24119.99906723847</v>
      </c>
      <c r="AN12" s="36">
        <f t="shared" si="5"/>
        <v>25084.79902992801</v>
      </c>
      <c r="AO12" s="36">
        <f t="shared" si="5"/>
        <v>26088.190991125131</v>
      </c>
      <c r="AP12" s="36">
        <f t="shared" si="5"/>
        <v>27131.718630770138</v>
      </c>
      <c r="AQ12" s="36">
        <f t="shared" si="5"/>
        <v>28216.987376000947</v>
      </c>
      <c r="AR12" s="36">
        <f t="shared" si="5"/>
        <v>29345.666871040983</v>
      </c>
      <c r="AS12" s="36">
        <f t="shared" si="5"/>
        <v>30519.493545882626</v>
      </c>
      <c r="AT12" s="36">
        <f t="shared" si="5"/>
        <v>31740.27328771793</v>
      </c>
    </row>
    <row r="13" spans="1:46" ht="15.5" x14ac:dyDescent="0.4">
      <c r="B13" s="2" t="s">
        <v>7</v>
      </c>
      <c r="H13" s="31">
        <f>_xlfn.XLOOKUP(H2,'Mortality Table'!$A:$A,'Mortality Table'!$B:$B,"Not found")</f>
        <v>1.3630000000000001E-3</v>
      </c>
      <c r="I13" s="31">
        <f>_xlfn.XLOOKUP(I2,'Mortality Table'!$A:$A,'Mortality Table'!$B:$B,"Not found")</f>
        <v>1.3910000000000001E-3</v>
      </c>
      <c r="J13" s="31">
        <f>_xlfn.XLOOKUP(J2,'Mortality Table'!$A:$A,'Mortality Table'!$B:$B,"Not found")</f>
        <v>1.4270000000000001E-3</v>
      </c>
      <c r="K13" s="31">
        <f>_xlfn.XLOOKUP(K2,'Mortality Table'!$A:$A,'Mortality Table'!$B:$B,"Not found")</f>
        <v>1.467E-3</v>
      </c>
      <c r="L13" s="31">
        <f>_xlfn.XLOOKUP(L2,'Mortality Table'!$A:$A,'Mortality Table'!$B:$B,"Not found")</f>
        <v>1.505E-3</v>
      </c>
      <c r="M13" s="31">
        <f>_xlfn.XLOOKUP(M2,'Mortality Table'!$A:$A,'Mortality Table'!$B:$B,"Not found")</f>
        <v>1.5410000000000001E-3</v>
      </c>
      <c r="N13" s="31">
        <f>_xlfn.XLOOKUP(N2,'Mortality Table'!$A:$A,'Mortality Table'!$B:$B,"Not found")</f>
        <v>1.573E-3</v>
      </c>
      <c r="O13" s="31">
        <f>_xlfn.XLOOKUP(O2,'Mortality Table'!$A:$A,'Mortality Table'!$B:$B,"Not found")</f>
        <v>1.606E-3</v>
      </c>
      <c r="P13" s="31">
        <f>_xlfn.XLOOKUP(P2,'Mortality Table'!$A:$A,'Mortality Table'!$B:$B,"Not found")</f>
        <v>1.6479999999999999E-3</v>
      </c>
      <c r="Q13" s="31">
        <f>_xlfn.XLOOKUP(Q2,'Mortality Table'!$A:$A,'Mortality Table'!$B:$B,"Not found")</f>
        <v>1.704E-3</v>
      </c>
      <c r="R13" s="31">
        <f>_xlfn.XLOOKUP(R2,'Mortality Table'!$A:$A,'Mortality Table'!$B:$B,"Not found")</f>
        <v>1.774E-3</v>
      </c>
      <c r="S13" s="31">
        <f>_xlfn.XLOOKUP(S2,'Mortality Table'!$A:$A,'Mortality Table'!$B:$B,"Not found")</f>
        <v>1.861E-3</v>
      </c>
      <c r="T13" s="31">
        <f>_xlfn.XLOOKUP(T2,'Mortality Table'!$A:$A,'Mortality Table'!$B:$B,"Not found")</f>
        <v>1.967E-3</v>
      </c>
      <c r="U13" s="31">
        <f>_xlfn.XLOOKUP(U2,'Mortality Table'!$A:$A,'Mortality Table'!$B:$B,"Not found")</f>
        <v>2.0920000000000001E-3</v>
      </c>
      <c r="V13" s="31">
        <f>_xlfn.XLOOKUP(V2,'Mortality Table'!$A:$A,'Mortality Table'!$B:$B,"Not found")</f>
        <v>2.2399999999999998E-3</v>
      </c>
      <c r="W13" s="31">
        <f>_xlfn.XLOOKUP(W2,'Mortality Table'!$A:$A,'Mortality Table'!$B:$B,"Not found")</f>
        <v>2.418E-3</v>
      </c>
      <c r="X13" s="31">
        <f>_xlfn.XLOOKUP(X2,'Mortality Table'!$A:$A,'Mortality Table'!$B:$B,"Not found")</f>
        <v>2.6289999999999998E-3</v>
      </c>
      <c r="Y13" s="31">
        <f>_xlfn.XLOOKUP(Y2,'Mortality Table'!$A:$A,'Mortality Table'!$B:$B,"Not found")</f>
        <v>2.8730000000000001E-3</v>
      </c>
      <c r="Z13" s="31">
        <f>_xlfn.XLOOKUP(Z2,'Mortality Table'!$A:$A,'Mortality Table'!$B:$B,"Not found")</f>
        <v>3.1459999999999999E-3</v>
      </c>
      <c r="AA13" s="31">
        <f>_xlfn.XLOOKUP(AA2,'Mortality Table'!$A:$A,'Mortality Table'!$B:$B,"Not found")</f>
        <v>3.447E-3</v>
      </c>
      <c r="AB13" s="31">
        <f>_xlfn.XLOOKUP(AB2,'Mortality Table'!$A:$A,'Mortality Table'!$B:$B,"Not found")</f>
        <v>3.787E-3</v>
      </c>
      <c r="AC13" s="31">
        <f>_xlfn.XLOOKUP(AC2,'Mortality Table'!$A:$A,'Mortality Table'!$B:$B,"Not found")</f>
        <v>4.1669999999999997E-3</v>
      </c>
      <c r="AD13" s="31">
        <f>_xlfn.XLOOKUP(AD2,'Mortality Table'!$A:$A,'Mortality Table'!$B:$B,"Not found")</f>
        <v>4.5859999999999998E-3</v>
      </c>
      <c r="AE13" s="31">
        <f>_xlfn.XLOOKUP(AE2,'Mortality Table'!$A:$A,'Mortality Table'!$B:$B,"Not found")</f>
        <v>5.0379999999999999E-3</v>
      </c>
      <c r="AF13" s="31">
        <f>_xlfn.XLOOKUP(AF2,'Mortality Table'!$A:$A,'Mortality Table'!$B:$B,"Not found")</f>
        <v>5.5199999999999997E-3</v>
      </c>
      <c r="AG13" s="31">
        <f>_xlfn.XLOOKUP(AG2,'Mortality Table'!$A:$A,'Mortality Table'!$B:$B,"Not found")</f>
        <v>6.0359999999999997E-3</v>
      </c>
      <c r="AH13" s="31">
        <f>_xlfn.XLOOKUP(AH2,'Mortality Table'!$A:$A,'Mortality Table'!$B:$B,"Not found")</f>
        <v>6.587E-3</v>
      </c>
      <c r="AI13" s="31">
        <f>_xlfn.XLOOKUP(AI2,'Mortality Table'!$A:$A,'Mortality Table'!$B:$B,"Not found")</f>
        <v>7.1700000000000002E-3</v>
      </c>
      <c r="AJ13" s="31">
        <f>_xlfn.XLOOKUP(AJ2,'Mortality Table'!$A:$A,'Mortality Table'!$B:$B,"Not found")</f>
        <v>7.8009999999999998E-3</v>
      </c>
      <c r="AK13" s="31">
        <f>_xlfn.XLOOKUP(AK2,'Mortality Table'!$A:$A,'Mortality Table'!$B:$B,"Not found")</f>
        <v>8.4659999999999996E-3</v>
      </c>
      <c r="AL13" s="31">
        <f>_xlfn.XLOOKUP(AL2,'Mortality Table'!$A:$A,'Mortality Table'!$B:$B,"Not found")</f>
        <v>9.1330000000000005E-3</v>
      </c>
      <c r="AM13" s="31">
        <f>_xlfn.XLOOKUP(AM2,'Mortality Table'!$A:$A,'Mortality Table'!$B:$B,"Not found")</f>
        <v>9.7920000000000004E-3</v>
      </c>
      <c r="AN13" s="31">
        <f>_xlfn.XLOOKUP(AN2,'Mortality Table'!$A:$A,'Mortality Table'!$B:$B,"Not found")</f>
        <v>1.0462000000000001E-2</v>
      </c>
      <c r="AO13" s="31">
        <f>_xlfn.XLOOKUP(AO2,'Mortality Table'!$A:$A,'Mortality Table'!$B:$B,"Not found")</f>
        <v>1.1197E-2</v>
      </c>
      <c r="AP13" s="31">
        <f>_xlfn.XLOOKUP(AP2,'Mortality Table'!$A:$A,'Mortality Table'!$B:$B,"Not found")</f>
        <v>1.2009000000000001E-2</v>
      </c>
      <c r="AQ13" s="31">
        <f>_xlfn.XLOOKUP(AQ2,'Mortality Table'!$A:$A,'Mortality Table'!$B:$B,"Not found")</f>
        <v>1.2867E-2</v>
      </c>
      <c r="AR13" s="31">
        <f>_xlfn.XLOOKUP(AR2,'Mortality Table'!$A:$A,'Mortality Table'!$B:$B,"Not found")</f>
        <v>1.3772E-2</v>
      </c>
      <c r="AS13" s="31">
        <f>_xlfn.XLOOKUP(AS2,'Mortality Table'!$A:$A,'Mortality Table'!$B:$B,"Not found")</f>
        <v>1.4749E-2</v>
      </c>
      <c r="AT13" s="31">
        <f>_xlfn.XLOOKUP(AT2,'Mortality Table'!$A:$A,'Mortality Table'!$B:$B,"Not found")</f>
        <v>1.5852000000000002E-2</v>
      </c>
    </row>
    <row r="14" spans="1:46" ht="15.5" x14ac:dyDescent="0.4">
      <c r="B14" s="2" t="s">
        <v>15</v>
      </c>
      <c r="H14" s="31">
        <f>1-H13</f>
        <v>0.998637</v>
      </c>
      <c r="I14" s="31">
        <f t="shared" ref="I14:AT14" si="6">1-I13</f>
        <v>0.99860899999999997</v>
      </c>
      <c r="J14" s="31">
        <f t="shared" si="6"/>
        <v>0.99857300000000004</v>
      </c>
      <c r="K14" s="31">
        <f t="shared" si="6"/>
        <v>0.998533</v>
      </c>
      <c r="L14" s="31">
        <f t="shared" si="6"/>
        <v>0.99849500000000002</v>
      </c>
      <c r="M14" s="31">
        <f t="shared" si="6"/>
        <v>0.99845899999999999</v>
      </c>
      <c r="N14" s="31">
        <f t="shared" si="6"/>
        <v>0.99842699999999995</v>
      </c>
      <c r="O14" s="31">
        <f t="shared" si="6"/>
        <v>0.998394</v>
      </c>
      <c r="P14" s="31">
        <f t="shared" si="6"/>
        <v>0.99835200000000002</v>
      </c>
      <c r="Q14" s="31">
        <f t="shared" si="6"/>
        <v>0.99829599999999996</v>
      </c>
      <c r="R14" s="31">
        <f t="shared" si="6"/>
        <v>0.99822599999999995</v>
      </c>
      <c r="S14" s="31">
        <f t="shared" si="6"/>
        <v>0.998139</v>
      </c>
      <c r="T14" s="31">
        <f t="shared" si="6"/>
        <v>0.99803299999999995</v>
      </c>
      <c r="U14" s="31">
        <f t="shared" si="6"/>
        <v>0.99790800000000002</v>
      </c>
      <c r="V14" s="31">
        <f t="shared" si="6"/>
        <v>0.99775999999999998</v>
      </c>
      <c r="W14" s="31">
        <f t="shared" si="6"/>
        <v>0.99758199999999997</v>
      </c>
      <c r="X14" s="31">
        <f t="shared" si="6"/>
        <v>0.99737100000000001</v>
      </c>
      <c r="Y14" s="31">
        <f t="shared" si="6"/>
        <v>0.99712699999999999</v>
      </c>
      <c r="Z14" s="31">
        <f t="shared" si="6"/>
        <v>0.99685400000000002</v>
      </c>
      <c r="AA14" s="31">
        <f t="shared" si="6"/>
        <v>0.99655300000000002</v>
      </c>
      <c r="AB14" s="31">
        <f t="shared" si="6"/>
        <v>0.99621300000000002</v>
      </c>
      <c r="AC14" s="31">
        <f t="shared" si="6"/>
        <v>0.99583299999999997</v>
      </c>
      <c r="AD14" s="31">
        <f t="shared" si="6"/>
        <v>0.99541400000000002</v>
      </c>
      <c r="AE14" s="31">
        <f t="shared" si="6"/>
        <v>0.99496200000000001</v>
      </c>
      <c r="AF14" s="31">
        <f t="shared" si="6"/>
        <v>0.99448000000000003</v>
      </c>
      <c r="AG14" s="31">
        <f t="shared" si="6"/>
        <v>0.99396399999999996</v>
      </c>
      <c r="AH14" s="31">
        <f t="shared" si="6"/>
        <v>0.99341299999999999</v>
      </c>
      <c r="AI14" s="31">
        <f t="shared" si="6"/>
        <v>0.99282999999999999</v>
      </c>
      <c r="AJ14" s="31">
        <f t="shared" si="6"/>
        <v>0.99219900000000005</v>
      </c>
      <c r="AK14" s="31">
        <f t="shared" si="6"/>
        <v>0.99153400000000003</v>
      </c>
      <c r="AL14" s="31">
        <f t="shared" si="6"/>
        <v>0.99086700000000005</v>
      </c>
      <c r="AM14" s="31">
        <f t="shared" si="6"/>
        <v>0.99020799999999998</v>
      </c>
      <c r="AN14" s="31">
        <f t="shared" si="6"/>
        <v>0.98953800000000003</v>
      </c>
      <c r="AO14" s="31">
        <f t="shared" si="6"/>
        <v>0.98880299999999999</v>
      </c>
      <c r="AP14" s="31">
        <f t="shared" si="6"/>
        <v>0.98799099999999995</v>
      </c>
      <c r="AQ14" s="31">
        <f t="shared" si="6"/>
        <v>0.98713300000000004</v>
      </c>
      <c r="AR14" s="31">
        <f t="shared" si="6"/>
        <v>0.98622799999999999</v>
      </c>
      <c r="AS14" s="31">
        <f t="shared" si="6"/>
        <v>0.98525099999999999</v>
      </c>
      <c r="AT14" s="31">
        <f t="shared" si="6"/>
        <v>0.98414800000000002</v>
      </c>
    </row>
    <row r="15" spans="1:46" x14ac:dyDescent="0.25">
      <c r="B15" s="2" t="s">
        <v>23</v>
      </c>
      <c r="H15" s="31">
        <f>H13</f>
        <v>1.3630000000000001E-3</v>
      </c>
      <c r="I15" s="31">
        <f>PRODUCT(H14)*I13</f>
        <v>1.3891040670000001E-3</v>
      </c>
      <c r="J15" s="31">
        <f>PRODUCT($H$14:I14)*J13</f>
        <v>1.423072747496391E-3</v>
      </c>
      <c r="K15" s="31">
        <f>PRODUCT($H$14:J14)*K13</f>
        <v>1.460875015613134E-3</v>
      </c>
      <c r="L15" s="31">
        <f>PRODUCT($H$14:K14)*L13</f>
        <v>1.4965177419956853E-3</v>
      </c>
      <c r="M15" s="31">
        <f>PRODUCT($H$14:L14)*M13</f>
        <v>1.5300087102893861E-3</v>
      </c>
      <c r="N15" s="31">
        <f>PRODUCT($H$14:M14)*N13</f>
        <v>1.5593737643617934E-3</v>
      </c>
      <c r="O15" s="31">
        <f>PRODUCT($H$14:N14)*O13</f>
        <v>1.5895835450129093E-3</v>
      </c>
      <c r="P15" s="31">
        <f>PRODUCT($H$14:O14)*P13</f>
        <v>1.6285345893447642E-3</v>
      </c>
      <c r="Q15" s="31">
        <f>PRODUCT($H$14:P14)*Q13</f>
        <v>1.6810981204113816E-3</v>
      </c>
      <c r="R15" s="31">
        <f>PRODUCT($H$14:Q14)*R13</f>
        <v>1.7471750474330938E-3</v>
      </c>
      <c r="S15" s="31">
        <f>PRODUCT($H$14:R14)*S13</f>
        <v>1.8296080130275881E-3</v>
      </c>
      <c r="T15" s="31">
        <f>PRODUCT($H$14:S14)*T13</f>
        <v>1.9302211296709732E-3</v>
      </c>
      <c r="U15" s="31">
        <f>PRODUCT($H$14:T14)*U13</f>
        <v>2.0488458631474533E-3</v>
      </c>
      <c r="V15" s="31">
        <f>PRODUCT($H$14:U14)*V13</f>
        <v>2.1892034788852373E-3</v>
      </c>
      <c r="W15" s="31">
        <f>PRODUCT($H$14:V14)*W13</f>
        <v>2.3578734756061377E-3</v>
      </c>
      <c r="X15" s="31">
        <f>PRODUCT($H$14:W14)*X13</f>
        <v>2.5574278534318605E-3</v>
      </c>
      <c r="Y15" s="31">
        <f>PRODUCT($H$14:X14)*Y13</f>
        <v>2.7874376839534831E-3</v>
      </c>
      <c r="Z15" s="31">
        <f>PRODUCT($H$14:Y14)*Z13</f>
        <v>3.0435380491763402E-3</v>
      </c>
      <c r="AA15" s="31">
        <f>PRODUCT($H$14:Z14)*AA13</f>
        <v>3.3242437163059782E-3</v>
      </c>
      <c r="AB15" s="31">
        <f>PRODUCT($H$14:AA14)*AB13</f>
        <v>3.6395465557277364E-3</v>
      </c>
      <c r="AC15" s="31">
        <f>PRODUCT($H$14:AB14)*AC13</f>
        <v>3.9895846030373961E-3</v>
      </c>
      <c r="AD15" s="31">
        <f>PRODUCT($H$14:AC14)*AD13</f>
        <v>4.37244890288652E-3</v>
      </c>
      <c r="AE15" s="31">
        <f>PRODUCT($H$14:AD14)*AE13</f>
        <v>4.7813727303693187E-3</v>
      </c>
      <c r="AF15" s="31">
        <f>PRODUCT($H$14:AE14)*AF13</f>
        <v>5.2124272813689008E-3</v>
      </c>
      <c r="AG15" s="31">
        <f>PRODUCT($H$14:AF14)*AG13</f>
        <v>5.6682137074699993E-3</v>
      </c>
      <c r="AH15" s="31">
        <f>PRODUCT($H$14:AG14)*AH13</f>
        <v>6.1483035841791546E-3</v>
      </c>
      <c r="AI15" s="31">
        <f>PRODUCT($H$14:AH14)*AI13</f>
        <v>6.6483922513634573E-3</v>
      </c>
      <c r="AJ15" s="31">
        <f>PRODUCT($H$14:AI14)*AJ13</f>
        <v>7.1816237515849556E-3</v>
      </c>
      <c r="AK15" s="31">
        <f>PRODUCT($H$14:AJ14)*AK13</f>
        <v>7.7330250984720414E-3</v>
      </c>
      <c r="AL15" s="31">
        <f>PRODUCT($H$14:AK14)*AL13</f>
        <v>8.2716514167089361E-3</v>
      </c>
      <c r="AM15" s="31">
        <f>PRODUCT($H$14:AL14)*AM13</f>
        <v>8.7875040082057085E-3</v>
      </c>
      <c r="AN15" s="31">
        <f>PRODUCT($H$14:AM14)*AN13</f>
        <v>9.2968383084999894E-3</v>
      </c>
      <c r="AO15" s="31">
        <f>PRODUCT($H$14:AN14)*AO13</f>
        <v>9.8458840451296145E-3</v>
      </c>
      <c r="AP15" s="31">
        <f>PRODUCT($H$14:AO14)*AP13</f>
        <v>1.0441662671684279E-2</v>
      </c>
      <c r="AQ15" s="31">
        <f>PRODUCT($H$14:AP14)*AQ13</f>
        <v>1.1053329164588266E-2</v>
      </c>
      <c r="AR15" s="31">
        <f>PRODUCT($H$14:AQ14)*AR13</f>
        <v>1.1678538239849946E-2</v>
      </c>
      <c r="AS15" s="31">
        <f>PRODUCT($H$14:AR14)*AS13</f>
        <v>1.2334779125322907E-2</v>
      </c>
      <c r="AT15" s="31">
        <f>PRODUCT($H$14:AS14)*AT13</f>
        <v>1.3061701347534873E-2</v>
      </c>
    </row>
    <row r="16" spans="1:46" x14ac:dyDescent="0.25">
      <c r="B16" s="2" t="s">
        <v>24</v>
      </c>
      <c r="H16" s="36">
        <f>H15*H12</f>
        <v>9.7462966116327898</v>
      </c>
      <c r="I16" s="36">
        <f t="shared" ref="I16:AT16" si="7">I15*I12</f>
        <v>10.330275181117919</v>
      </c>
      <c r="J16" s="36">
        <f t="shared" si="7"/>
        <v>11.006203761811278</v>
      </c>
      <c r="K16" s="36">
        <f t="shared" si="7"/>
        <v>11.7505135598241</v>
      </c>
      <c r="L16" s="36">
        <f t="shared" si="7"/>
        <v>12.518693183999396</v>
      </c>
      <c r="M16" s="36">
        <f t="shared" si="7"/>
        <v>13.310806439831207</v>
      </c>
      <c r="N16" s="36">
        <f t="shared" si="7"/>
        <v>14.108928330531331</v>
      </c>
      <c r="O16" s="36">
        <f t="shared" si="7"/>
        <v>14.957551330873022</v>
      </c>
      <c r="P16" s="36">
        <f t="shared" si="7"/>
        <v>15.937032930590545</v>
      </c>
      <c r="Q16" s="36">
        <f t="shared" si="7"/>
        <v>17.109482924733463</v>
      </c>
      <c r="R16" s="36">
        <f t="shared" si="7"/>
        <v>18.493264449425581</v>
      </c>
      <c r="S16" s="36">
        <f t="shared" si="7"/>
        <v>20.140421458258658</v>
      </c>
      <c r="T16" s="36">
        <f t="shared" si="7"/>
        <v>22.09789498826833</v>
      </c>
      <c r="U16" s="36">
        <f t="shared" si="7"/>
        <v>24.394193616689904</v>
      </c>
      <c r="V16" s="36">
        <f t="shared" si="7"/>
        <v>27.107948270030857</v>
      </c>
      <c r="W16" s="36">
        <f t="shared" si="7"/>
        <v>30.364375597474606</v>
      </c>
      <c r="X16" s="36">
        <f t="shared" si="7"/>
        <v>34.251578270326405</v>
      </c>
      <c r="Y16" s="36">
        <f t="shared" si="7"/>
        <v>38.825378973084376</v>
      </c>
      <c r="Z16" s="36">
        <f t="shared" si="7"/>
        <v>44.08822468493797</v>
      </c>
      <c r="AA16" s="36">
        <f t="shared" si="7"/>
        <v>50.080663216324901</v>
      </c>
      <c r="AB16" s="36">
        <f t="shared" si="7"/>
        <v>57.024020411140448</v>
      </c>
      <c r="AC16" s="36">
        <f t="shared" si="7"/>
        <v>65.008713686227324</v>
      </c>
      <c r="AD16" s="36">
        <f t="shared" si="7"/>
        <v>74.097230514616058</v>
      </c>
      <c r="AE16" s="36">
        <f t="shared" si="7"/>
        <v>84.268094300741168</v>
      </c>
      <c r="AF16" s="36">
        <f t="shared" si="7"/>
        <v>95.539710453435376</v>
      </c>
      <c r="AG16" s="36">
        <f t="shared" si="7"/>
        <v>108.04967548783972</v>
      </c>
      <c r="AH16" s="36">
        <f t="shared" si="7"/>
        <v>121.88938720564063</v>
      </c>
      <c r="AI16" s="36">
        <f t="shared" si="7"/>
        <v>137.07572896805749</v>
      </c>
      <c r="AJ16" s="36">
        <f t="shared" si="7"/>
        <v>153.99262327666878</v>
      </c>
      <c r="AK16" s="36">
        <f t="shared" si="7"/>
        <v>172.4487409042874</v>
      </c>
      <c r="AL16" s="36">
        <f t="shared" si="7"/>
        <v>191.83867736109738</v>
      </c>
      <c r="AM16" s="36">
        <f t="shared" si="7"/>
        <v>211.95458848127601</v>
      </c>
      <c r="AN16" s="36">
        <f t="shared" si="7"/>
        <v>233.2093205824581</v>
      </c>
      <c r="AO16" s="36">
        <f t="shared" si="7"/>
        <v>256.86130344581306</v>
      </c>
      <c r="AP16" s="36">
        <f t="shared" si="7"/>
        <v>283.30025364555343</v>
      </c>
      <c r="AQ16" s="36">
        <f t="shared" si="7"/>
        <v>311.89164949997019</v>
      </c>
      <c r="AR16" s="36">
        <f t="shared" si="7"/>
        <v>342.71449272734981</v>
      </c>
      <c r="AS16" s="36">
        <f t="shared" si="7"/>
        <v>376.45121190518023</v>
      </c>
      <c r="AT16" s="36">
        <f t="shared" si="7"/>
        <v>414.58197037331041</v>
      </c>
    </row>
    <row r="17" spans="1:46" x14ac:dyDescent="0.25">
      <c r="B17" s="2" t="s">
        <v>16</v>
      </c>
      <c r="H17" s="37">
        <f>(1+$H$29)^(-H1)</f>
        <v>0.95238095238095233</v>
      </c>
      <c r="I17" s="37">
        <f t="shared" ref="I17:AT17" si="8">(1+$H$29)^(-I1)</f>
        <v>0.90702947845804982</v>
      </c>
      <c r="J17" s="37">
        <f t="shared" si="8"/>
        <v>0.86383759853147601</v>
      </c>
      <c r="K17" s="37">
        <f t="shared" si="8"/>
        <v>0.82270247479188197</v>
      </c>
      <c r="L17" s="37">
        <f t="shared" si="8"/>
        <v>0.78352616646845896</v>
      </c>
      <c r="M17" s="37">
        <f t="shared" si="8"/>
        <v>0.74621539663662761</v>
      </c>
      <c r="N17" s="37">
        <f t="shared" si="8"/>
        <v>0.71068133013012147</v>
      </c>
      <c r="O17" s="37">
        <f t="shared" si="8"/>
        <v>0.67683936202868722</v>
      </c>
      <c r="P17" s="37">
        <f t="shared" si="8"/>
        <v>0.64460891621779726</v>
      </c>
      <c r="Q17" s="37">
        <f t="shared" si="8"/>
        <v>0.61391325354075932</v>
      </c>
      <c r="R17" s="37">
        <f t="shared" si="8"/>
        <v>0.5846792890864374</v>
      </c>
      <c r="S17" s="37">
        <f t="shared" si="8"/>
        <v>0.5568374181775595</v>
      </c>
      <c r="T17" s="37">
        <f t="shared" si="8"/>
        <v>0.53032135064529462</v>
      </c>
      <c r="U17" s="37">
        <f t="shared" si="8"/>
        <v>0.50506795299551888</v>
      </c>
      <c r="V17" s="37">
        <f t="shared" si="8"/>
        <v>0.48101709809097021</v>
      </c>
      <c r="W17" s="37">
        <f t="shared" si="8"/>
        <v>0.45811152199140021</v>
      </c>
      <c r="X17" s="37">
        <f t="shared" si="8"/>
        <v>0.43629668761085727</v>
      </c>
      <c r="Y17" s="37">
        <f t="shared" si="8"/>
        <v>0.41552065486748313</v>
      </c>
      <c r="Z17" s="37">
        <f t="shared" si="8"/>
        <v>0.39573395701665059</v>
      </c>
      <c r="AA17" s="37">
        <f t="shared" si="8"/>
        <v>0.37688948287300061</v>
      </c>
      <c r="AB17" s="37">
        <f t="shared" si="8"/>
        <v>0.35894236464095297</v>
      </c>
      <c r="AC17" s="37">
        <f t="shared" si="8"/>
        <v>0.3418498710866219</v>
      </c>
      <c r="AD17" s="37">
        <f t="shared" si="8"/>
        <v>0.32557130579678267</v>
      </c>
      <c r="AE17" s="37">
        <f t="shared" si="8"/>
        <v>0.31006791028265024</v>
      </c>
      <c r="AF17" s="37">
        <f t="shared" si="8"/>
        <v>0.29530277169776209</v>
      </c>
      <c r="AG17" s="37">
        <f t="shared" si="8"/>
        <v>0.28124073495024959</v>
      </c>
      <c r="AH17" s="37">
        <f t="shared" si="8"/>
        <v>0.2678483190002377</v>
      </c>
      <c r="AI17" s="37">
        <f t="shared" si="8"/>
        <v>0.25509363714308358</v>
      </c>
      <c r="AJ17" s="37">
        <f t="shared" si="8"/>
        <v>0.24294632108865097</v>
      </c>
      <c r="AK17" s="37">
        <f t="shared" si="8"/>
        <v>0.23137744865585813</v>
      </c>
      <c r="AL17" s="37">
        <f t="shared" si="8"/>
        <v>0.220359474910341</v>
      </c>
      <c r="AM17" s="37">
        <f t="shared" si="8"/>
        <v>0.20986616658127716</v>
      </c>
      <c r="AN17" s="37">
        <f t="shared" si="8"/>
        <v>0.19987253960121634</v>
      </c>
      <c r="AO17" s="37">
        <f t="shared" si="8"/>
        <v>0.19035479962020604</v>
      </c>
      <c r="AP17" s="37">
        <f t="shared" si="8"/>
        <v>0.18129028535257716</v>
      </c>
      <c r="AQ17" s="37">
        <f t="shared" si="8"/>
        <v>0.17265741462150208</v>
      </c>
      <c r="AR17" s="37">
        <f t="shared" si="8"/>
        <v>0.1644356329728591</v>
      </c>
      <c r="AS17" s="37">
        <f t="shared" si="8"/>
        <v>0.15660536473605632</v>
      </c>
      <c r="AT17" s="37">
        <f t="shared" si="8"/>
        <v>0.14914796641529171</v>
      </c>
    </row>
    <row r="18" spans="1:46" x14ac:dyDescent="0.25">
      <c r="B18" s="2" t="s">
        <v>18</v>
      </c>
      <c r="H18" s="36">
        <f>H17*H16</f>
        <v>9.2821872491740844</v>
      </c>
      <c r="I18" s="36">
        <f t="shared" ref="I18:AT18" si="9">I17*I16</f>
        <v>9.3698641098575219</v>
      </c>
      <c r="J18" s="36">
        <f t="shared" si="9"/>
        <v>9.507572626551152</v>
      </c>
      <c r="K18" s="36">
        <f t="shared" si="9"/>
        <v>9.6671765857428529</v>
      </c>
      <c r="L18" s="36">
        <f t="shared" si="9"/>
        <v>9.8087236796538733</v>
      </c>
      <c r="M18" s="36">
        <f t="shared" si="9"/>
        <v>9.9327287070520214</v>
      </c>
      <c r="N18" s="36">
        <f t="shared" si="9"/>
        <v>10.02695195265256</v>
      </c>
      <c r="O18" s="36">
        <f t="shared" si="9"/>
        <v>10.123859500299437</v>
      </c>
      <c r="P18" s="36">
        <f t="shared" si="9"/>
        <v>10.273153525115317</v>
      </c>
      <c r="Q18" s="36">
        <f t="shared" si="9"/>
        <v>10.503738328723188</v>
      </c>
      <c r="R18" s="36">
        <f t="shared" si="9"/>
        <v>10.812628711177634</v>
      </c>
      <c r="S18" s="36">
        <f t="shared" si="9"/>
        <v>11.214940285824669</v>
      </c>
      <c r="T18" s="36">
        <f t="shared" si="9"/>
        <v>11.718985516596348</v>
      </c>
      <c r="U18" s="36">
        <f t="shared" si="9"/>
        <v>12.320725434957923</v>
      </c>
      <c r="V18" s="36">
        <f t="shared" si="9"/>
        <v>13.039386612050379</v>
      </c>
      <c r="W18" s="36">
        <f t="shared" si="9"/>
        <v>13.910270319277624</v>
      </c>
      <c r="X18" s="36">
        <f t="shared" si="9"/>
        <v>14.943850144787426</v>
      </c>
      <c r="Y18" s="36">
        <f t="shared" si="9"/>
        <v>16.132746896374229</v>
      </c>
      <c r="Z18" s="36">
        <f t="shared" si="9"/>
        <v>17.447207612409677</v>
      </c>
      <c r="AA18" s="36">
        <f t="shared" si="9"/>
        <v>18.874875261537596</v>
      </c>
      <c r="AB18" s="36">
        <f t="shared" si="9"/>
        <v>20.468336727708721</v>
      </c>
      <c r="AC18" s="36">
        <f t="shared" si="9"/>
        <v>22.223220393143922</v>
      </c>
      <c r="AD18" s="36">
        <f t="shared" si="9"/>
        <v>24.123932094568762</v>
      </c>
      <c r="AE18" s="36">
        <f t="shared" si="9"/>
        <v>26.128831903332124</v>
      </c>
      <c r="AF18" s="36">
        <f t="shared" si="9"/>
        <v>28.213141304101121</v>
      </c>
      <c r="AG18" s="36">
        <f t="shared" si="9"/>
        <v>30.387970145336013</v>
      </c>
      <c r="AH18" s="36">
        <f t="shared" si="9"/>
        <v>32.647867466999926</v>
      </c>
      <c r="AI18" s="36">
        <f t="shared" si="9"/>
        <v>34.967146266501331</v>
      </c>
      <c r="AJ18" s="36">
        <f t="shared" si="9"/>
        <v>37.41194129985724</v>
      </c>
      <c r="AK18" s="36">
        <f t="shared" si="9"/>
        <v>39.900749694349138</v>
      </c>
      <c r="AL18" s="36">
        <f t="shared" si="9"/>
        <v>42.273470210785739</v>
      </c>
      <c r="AM18" s="36">
        <f t="shared" si="9"/>
        <v>44.482096973877518</v>
      </c>
      <c r="AN18" s="36">
        <f t="shared" si="9"/>
        <v>46.612139163490113</v>
      </c>
      <c r="AO18" s="36">
        <f t="shared" si="9"/>
        <v>48.894781947612685</v>
      </c>
      <c r="AP18" s="36">
        <f t="shared" si="9"/>
        <v>51.359583823859865</v>
      </c>
      <c r="AQ18" s="36">
        <f t="shared" si="9"/>
        <v>53.850405844700553</v>
      </c>
      <c r="AR18" s="36">
        <f t="shared" si="9"/>
        <v>56.354474540594083</v>
      </c>
      <c r="AS18" s="36">
        <f t="shared" si="9"/>
        <v>58.954279345741178</v>
      </c>
      <c r="AT18" s="36">
        <f t="shared" si="9"/>
        <v>61.834057793623963</v>
      </c>
    </row>
    <row r="20" spans="1:46" ht="13" x14ac:dyDescent="0.3">
      <c r="B20" s="1" t="s">
        <v>19</v>
      </c>
      <c r="C20" s="1"/>
      <c r="D20" s="1"/>
      <c r="E20" s="1"/>
      <c r="F20" s="1"/>
      <c r="G20" s="32">
        <f>SUM(H18:AT18)</f>
        <v>999.99999999999955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</row>
    <row r="23" spans="1:46" x14ac:dyDescent="0.25">
      <c r="B23" s="4" t="s">
        <v>21</v>
      </c>
    </row>
    <row r="25" spans="1:46" x14ac:dyDescent="0.25">
      <c r="C25" s="2" t="s">
        <v>1</v>
      </c>
      <c r="H25" s="34"/>
      <c r="I25" s="19">
        <v>0.04</v>
      </c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</row>
    <row r="26" spans="1:46" x14ac:dyDescent="0.25">
      <c r="A26" s="2" t="s">
        <v>20</v>
      </c>
      <c r="B26" s="23"/>
      <c r="C26" s="2" t="s">
        <v>3</v>
      </c>
      <c r="H26" s="21">
        <v>60000</v>
      </c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</row>
    <row r="27" spans="1:46" x14ac:dyDescent="0.25">
      <c r="A27" s="2" t="s">
        <v>20</v>
      </c>
      <c r="B27" s="23"/>
      <c r="C27" s="2" t="s">
        <v>4</v>
      </c>
      <c r="H27" s="40">
        <v>5.9588509486627472E-2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</row>
    <row r="28" spans="1:46" ht="15.5" x14ac:dyDescent="0.4">
      <c r="C28" s="2" t="s">
        <v>7</v>
      </c>
      <c r="H28" s="33" t="s">
        <v>28</v>
      </c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</row>
    <row r="29" spans="1:46" x14ac:dyDescent="0.25">
      <c r="C29" s="2" t="s">
        <v>22</v>
      </c>
      <c r="H29" s="19">
        <v>0.05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</row>
    <row r="32" spans="1:46" ht="13" x14ac:dyDescent="0.3">
      <c r="B32" s="39" t="s">
        <v>30</v>
      </c>
    </row>
    <row r="33" spans="3:3" x14ac:dyDescent="0.25">
      <c r="C33" s="2" t="s">
        <v>44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4"/>
  <sheetViews>
    <sheetView zoomScaleNormal="100" workbookViewId="0">
      <pane ySplit="4" topLeftCell="A26" activePane="bottomLeft" state="frozen"/>
      <selection pane="bottomLeft" activeCell="E30" sqref="E30"/>
    </sheetView>
  </sheetViews>
  <sheetFormatPr defaultRowHeight="14" x14ac:dyDescent="0.3"/>
  <cols>
    <col min="1" max="1" width="11.1640625" customWidth="1"/>
    <col min="2" max="2" width="17" customWidth="1"/>
    <col min="3" max="3" width="12.1640625" bestFit="1" customWidth="1"/>
  </cols>
  <sheetData>
    <row r="1" spans="1:5" ht="21" x14ac:dyDescent="0.3">
      <c r="A1" s="24"/>
      <c r="B1" s="24"/>
      <c r="C1" s="24"/>
      <c r="E1" t="s">
        <v>25</v>
      </c>
    </row>
    <row r="2" spans="1:5" x14ac:dyDescent="0.3">
      <c r="A2" s="35" t="s">
        <v>8</v>
      </c>
      <c r="E2" s="38" t="s">
        <v>13</v>
      </c>
    </row>
    <row r="3" spans="1:5" ht="15" customHeight="1" x14ac:dyDescent="0.3">
      <c r="A3" s="26" t="s">
        <v>9</v>
      </c>
      <c r="B3" s="26" t="s">
        <v>11</v>
      </c>
      <c r="C3" s="26" t="s">
        <v>12</v>
      </c>
    </row>
    <row r="4" spans="1:5" ht="28" x14ac:dyDescent="0.3">
      <c r="A4" s="26" t="s">
        <v>10</v>
      </c>
      <c r="B4" s="28" t="s">
        <v>14</v>
      </c>
      <c r="C4" s="28" t="s">
        <v>14</v>
      </c>
    </row>
    <row r="5" spans="1:5" x14ac:dyDescent="0.3">
      <c r="A5" s="29">
        <v>0</v>
      </c>
      <c r="B5" s="30">
        <v>6.5189999999999996E-3</v>
      </c>
      <c r="C5" s="30">
        <v>5.3769999999999998E-3</v>
      </c>
    </row>
    <row r="6" spans="1:5" x14ac:dyDescent="0.3">
      <c r="A6" s="29">
        <v>1</v>
      </c>
      <c r="B6" s="30">
        <v>4.6200000000000001E-4</v>
      </c>
      <c r="C6" s="30">
        <v>3.79E-4</v>
      </c>
    </row>
    <row r="7" spans="1:5" x14ac:dyDescent="0.3">
      <c r="A7" s="29">
        <v>2</v>
      </c>
      <c r="B7" s="30">
        <v>2.9100000000000003E-4</v>
      </c>
      <c r="C7" s="30">
        <v>2.2100000000000001E-4</v>
      </c>
    </row>
    <row r="8" spans="1:5" x14ac:dyDescent="0.3">
      <c r="A8" s="29">
        <v>3</v>
      </c>
      <c r="B8" s="30">
        <v>2.0900000000000001E-4</v>
      </c>
      <c r="C8" s="30">
        <v>1.6200000000000001E-4</v>
      </c>
    </row>
    <row r="9" spans="1:5" x14ac:dyDescent="0.3">
      <c r="A9" s="29">
        <v>4</v>
      </c>
      <c r="B9" s="30">
        <v>1.76E-4</v>
      </c>
      <c r="C9" s="30">
        <v>1.3300000000000001E-4</v>
      </c>
    </row>
    <row r="10" spans="1:5" x14ac:dyDescent="0.3">
      <c r="A10" s="25">
        <v>5</v>
      </c>
      <c r="B10" s="27">
        <v>1.5899999999999999E-4</v>
      </c>
      <c r="C10" s="27">
        <v>1.1900000000000001E-4</v>
      </c>
    </row>
    <row r="11" spans="1:5" x14ac:dyDescent="0.3">
      <c r="A11" s="25">
        <v>6</v>
      </c>
      <c r="B11" s="27">
        <v>1.46E-4</v>
      </c>
      <c r="C11" s="27">
        <v>1.0900000000000001E-4</v>
      </c>
    </row>
    <row r="12" spans="1:5" x14ac:dyDescent="0.3">
      <c r="A12" s="25">
        <v>7</v>
      </c>
      <c r="B12" s="27">
        <v>1.3300000000000001E-4</v>
      </c>
      <c r="C12" s="27">
        <v>1.01E-4</v>
      </c>
    </row>
    <row r="13" spans="1:5" x14ac:dyDescent="0.3">
      <c r="A13" s="25">
        <v>8</v>
      </c>
      <c r="B13" s="27">
        <v>1.18E-4</v>
      </c>
      <c r="C13" s="27">
        <v>9.6000000000000002E-5</v>
      </c>
    </row>
    <row r="14" spans="1:5" x14ac:dyDescent="0.3">
      <c r="A14" s="25">
        <v>9</v>
      </c>
      <c r="B14" s="27">
        <v>1.02E-4</v>
      </c>
      <c r="C14" s="27">
        <v>9.2999999999999997E-5</v>
      </c>
    </row>
    <row r="15" spans="1:5" x14ac:dyDescent="0.3">
      <c r="A15" s="29">
        <v>10</v>
      </c>
      <c r="B15" s="30">
        <v>9.1000000000000003E-5</v>
      </c>
      <c r="C15" s="30">
        <v>9.3999999999999994E-5</v>
      </c>
    </row>
    <row r="16" spans="1:5" x14ac:dyDescent="0.3">
      <c r="A16" s="29">
        <v>11</v>
      </c>
      <c r="B16" s="30">
        <v>9.6000000000000002E-5</v>
      </c>
      <c r="C16" s="30">
        <v>1E-4</v>
      </c>
    </row>
    <row r="17" spans="1:3" x14ac:dyDescent="0.3">
      <c r="A17" s="29">
        <v>12</v>
      </c>
      <c r="B17" s="30">
        <v>1.2799999999999999E-4</v>
      </c>
      <c r="C17" s="30">
        <v>1.12E-4</v>
      </c>
    </row>
    <row r="18" spans="1:3" x14ac:dyDescent="0.3">
      <c r="A18" s="29">
        <v>13</v>
      </c>
      <c r="B18" s="30">
        <v>1.95E-4</v>
      </c>
      <c r="C18" s="30">
        <v>1.34E-4</v>
      </c>
    </row>
    <row r="19" spans="1:3" x14ac:dyDescent="0.3">
      <c r="A19" s="29">
        <v>14</v>
      </c>
      <c r="B19" s="30">
        <v>2.8800000000000001E-4</v>
      </c>
      <c r="C19" s="30">
        <v>1.6200000000000001E-4</v>
      </c>
    </row>
    <row r="20" spans="1:3" x14ac:dyDescent="0.3">
      <c r="A20" s="25">
        <v>15</v>
      </c>
      <c r="B20" s="27">
        <v>3.8900000000000002E-4</v>
      </c>
      <c r="C20" s="27">
        <v>1.94E-4</v>
      </c>
    </row>
    <row r="21" spans="1:3" x14ac:dyDescent="0.3">
      <c r="A21" s="25">
        <v>16</v>
      </c>
      <c r="B21" s="27">
        <v>4.9200000000000003E-4</v>
      </c>
      <c r="C21" s="27">
        <v>2.2599999999999999E-4</v>
      </c>
    </row>
    <row r="22" spans="1:3" x14ac:dyDescent="0.3">
      <c r="A22" s="25">
        <v>17</v>
      </c>
      <c r="B22" s="27">
        <v>6.0700000000000001E-4</v>
      </c>
      <c r="C22" s="27">
        <v>2.61E-4</v>
      </c>
    </row>
    <row r="23" spans="1:3" x14ac:dyDescent="0.3">
      <c r="A23" s="25">
        <v>18</v>
      </c>
      <c r="B23" s="27">
        <v>7.3499999999999998E-4</v>
      </c>
      <c r="C23" s="27">
        <v>2.9700000000000001E-4</v>
      </c>
    </row>
    <row r="24" spans="1:3" x14ac:dyDescent="0.3">
      <c r="A24" s="25">
        <v>19</v>
      </c>
      <c r="B24" s="27">
        <v>8.6899999999999998E-4</v>
      </c>
      <c r="C24" s="27">
        <v>3.3399999999999999E-4</v>
      </c>
    </row>
    <row r="25" spans="1:3" x14ac:dyDescent="0.3">
      <c r="A25" s="29">
        <v>20</v>
      </c>
      <c r="B25" s="30">
        <v>1.011E-3</v>
      </c>
      <c r="C25" s="30">
        <v>3.7300000000000001E-4</v>
      </c>
    </row>
    <row r="26" spans="1:3" x14ac:dyDescent="0.3">
      <c r="A26" s="29">
        <v>21</v>
      </c>
      <c r="B26" s="30">
        <v>1.145E-3</v>
      </c>
      <c r="C26" s="30">
        <v>4.1199999999999999E-4</v>
      </c>
    </row>
    <row r="27" spans="1:3" x14ac:dyDescent="0.3">
      <c r="A27" s="29">
        <v>22</v>
      </c>
      <c r="B27" s="30">
        <v>1.2459999999999999E-3</v>
      </c>
      <c r="C27" s="30">
        <v>4.46E-4</v>
      </c>
    </row>
    <row r="28" spans="1:3" x14ac:dyDescent="0.3">
      <c r="A28" s="29">
        <v>23</v>
      </c>
      <c r="B28" s="30">
        <v>1.3010000000000001E-3</v>
      </c>
      <c r="C28" s="30">
        <v>4.7199999999999998E-4</v>
      </c>
    </row>
    <row r="29" spans="1:3" x14ac:dyDescent="0.3">
      <c r="A29" s="29">
        <v>24</v>
      </c>
      <c r="B29" s="30">
        <v>1.3209999999999999E-3</v>
      </c>
      <c r="C29" s="30">
        <v>4.9299999999999995E-4</v>
      </c>
    </row>
    <row r="30" spans="1:3" x14ac:dyDescent="0.3">
      <c r="A30" s="25">
        <v>25</v>
      </c>
      <c r="B30" s="27">
        <v>1.33E-3</v>
      </c>
      <c r="C30" s="27">
        <v>5.13E-4</v>
      </c>
    </row>
    <row r="31" spans="1:3" x14ac:dyDescent="0.3">
      <c r="A31" s="25">
        <v>26</v>
      </c>
      <c r="B31" s="27">
        <v>1.3450000000000001E-3</v>
      </c>
      <c r="C31" s="27">
        <v>5.3700000000000004E-4</v>
      </c>
    </row>
    <row r="32" spans="1:3" x14ac:dyDescent="0.3">
      <c r="A32" s="25">
        <v>27</v>
      </c>
      <c r="B32" s="27">
        <v>1.3630000000000001E-3</v>
      </c>
      <c r="C32" s="27">
        <v>5.6300000000000002E-4</v>
      </c>
    </row>
    <row r="33" spans="1:3" x14ac:dyDescent="0.3">
      <c r="A33" s="25">
        <v>28</v>
      </c>
      <c r="B33" s="27">
        <v>1.3910000000000001E-3</v>
      </c>
      <c r="C33" s="27">
        <v>5.9299999999999999E-4</v>
      </c>
    </row>
    <row r="34" spans="1:3" x14ac:dyDescent="0.3">
      <c r="A34" s="25">
        <v>29</v>
      </c>
      <c r="B34" s="27">
        <v>1.4270000000000001E-3</v>
      </c>
      <c r="C34" s="27">
        <v>6.2699999999999995E-4</v>
      </c>
    </row>
    <row r="35" spans="1:3" x14ac:dyDescent="0.3">
      <c r="A35" s="29">
        <v>30</v>
      </c>
      <c r="B35" s="30">
        <v>1.467E-3</v>
      </c>
      <c r="C35" s="30">
        <v>6.6399999999999999E-4</v>
      </c>
    </row>
    <row r="36" spans="1:3" x14ac:dyDescent="0.3">
      <c r="A36" s="29">
        <v>31</v>
      </c>
      <c r="B36" s="30">
        <v>1.505E-3</v>
      </c>
      <c r="C36" s="30">
        <v>7.0500000000000001E-4</v>
      </c>
    </row>
    <row r="37" spans="1:3" x14ac:dyDescent="0.3">
      <c r="A37" s="29">
        <v>32</v>
      </c>
      <c r="B37" s="30">
        <v>1.5410000000000001E-3</v>
      </c>
      <c r="C37" s="30">
        <v>7.4799999999999997E-4</v>
      </c>
    </row>
    <row r="38" spans="1:3" x14ac:dyDescent="0.3">
      <c r="A38" s="29">
        <v>33</v>
      </c>
      <c r="B38" s="30">
        <v>1.573E-3</v>
      </c>
      <c r="C38" s="30">
        <v>7.94E-4</v>
      </c>
    </row>
    <row r="39" spans="1:3" x14ac:dyDescent="0.3">
      <c r="A39" s="29">
        <v>34</v>
      </c>
      <c r="B39" s="30">
        <v>1.606E-3</v>
      </c>
      <c r="C39" s="30">
        <v>8.4500000000000005E-4</v>
      </c>
    </row>
    <row r="40" spans="1:3" x14ac:dyDescent="0.3">
      <c r="A40" s="25">
        <v>35</v>
      </c>
      <c r="B40" s="27">
        <v>1.6479999999999999E-3</v>
      </c>
      <c r="C40" s="27">
        <v>9.0300000000000005E-4</v>
      </c>
    </row>
    <row r="41" spans="1:3" x14ac:dyDescent="0.3">
      <c r="A41" s="25">
        <v>36</v>
      </c>
      <c r="B41" s="27">
        <v>1.704E-3</v>
      </c>
      <c r="C41" s="27">
        <v>9.68E-4</v>
      </c>
    </row>
    <row r="42" spans="1:3" x14ac:dyDescent="0.3">
      <c r="A42" s="25">
        <v>37</v>
      </c>
      <c r="B42" s="27">
        <v>1.774E-3</v>
      </c>
      <c r="C42" s="27">
        <v>1.0380000000000001E-3</v>
      </c>
    </row>
    <row r="43" spans="1:3" x14ac:dyDescent="0.3">
      <c r="A43" s="25">
        <v>38</v>
      </c>
      <c r="B43" s="27">
        <v>1.861E-3</v>
      </c>
      <c r="C43" s="27">
        <v>1.1130000000000001E-3</v>
      </c>
    </row>
    <row r="44" spans="1:3" x14ac:dyDescent="0.3">
      <c r="A44" s="25">
        <v>39</v>
      </c>
      <c r="B44" s="27">
        <v>1.967E-3</v>
      </c>
      <c r="C44" s="27">
        <v>1.196E-3</v>
      </c>
    </row>
    <row r="45" spans="1:3" x14ac:dyDescent="0.3">
      <c r="A45" s="29">
        <v>40</v>
      </c>
      <c r="B45" s="30">
        <v>2.0920000000000001E-3</v>
      </c>
      <c r="C45" s="30">
        <v>1.2869999999999999E-3</v>
      </c>
    </row>
    <row r="46" spans="1:3" x14ac:dyDescent="0.3">
      <c r="A46" s="29">
        <v>41</v>
      </c>
      <c r="B46" s="30">
        <v>2.2399999999999998E-3</v>
      </c>
      <c r="C46" s="30">
        <v>1.3929999999999999E-3</v>
      </c>
    </row>
    <row r="47" spans="1:3" x14ac:dyDescent="0.3">
      <c r="A47" s="29">
        <v>42</v>
      </c>
      <c r="B47" s="30">
        <v>2.418E-3</v>
      </c>
      <c r="C47" s="30">
        <v>1.5169999999999999E-3</v>
      </c>
    </row>
    <row r="48" spans="1:3" x14ac:dyDescent="0.3">
      <c r="A48" s="29">
        <v>43</v>
      </c>
      <c r="B48" s="30">
        <v>2.6289999999999998E-3</v>
      </c>
      <c r="C48" s="30">
        <v>1.6620000000000001E-3</v>
      </c>
    </row>
    <row r="49" spans="1:3" x14ac:dyDescent="0.3">
      <c r="A49" s="29">
        <v>44</v>
      </c>
      <c r="B49" s="30">
        <v>2.8730000000000001E-3</v>
      </c>
      <c r="C49" s="30">
        <v>1.8270000000000001E-3</v>
      </c>
    </row>
    <row r="50" spans="1:3" x14ac:dyDescent="0.3">
      <c r="A50" s="25">
        <v>45</v>
      </c>
      <c r="B50" s="27">
        <v>3.1459999999999999E-3</v>
      </c>
      <c r="C50" s="27">
        <v>2.0049999999999998E-3</v>
      </c>
    </row>
    <row r="51" spans="1:3" x14ac:dyDescent="0.3">
      <c r="A51" s="25">
        <v>46</v>
      </c>
      <c r="B51" s="27">
        <v>3.447E-3</v>
      </c>
      <c r="C51" s="27">
        <v>2.1979999999999999E-3</v>
      </c>
    </row>
    <row r="52" spans="1:3" x14ac:dyDescent="0.3">
      <c r="A52" s="25">
        <v>47</v>
      </c>
      <c r="B52" s="27">
        <v>3.787E-3</v>
      </c>
      <c r="C52" s="27">
        <v>2.4120000000000001E-3</v>
      </c>
    </row>
    <row r="53" spans="1:3" x14ac:dyDescent="0.3">
      <c r="A53" s="25">
        <v>48</v>
      </c>
      <c r="B53" s="27">
        <v>4.1669999999999997E-3</v>
      </c>
      <c r="C53" s="27">
        <v>2.6480000000000002E-3</v>
      </c>
    </row>
    <row r="54" spans="1:3" x14ac:dyDescent="0.3">
      <c r="A54" s="25">
        <v>49</v>
      </c>
      <c r="B54" s="27">
        <v>4.5859999999999998E-3</v>
      </c>
      <c r="C54" s="27">
        <v>2.9039999999999999E-3</v>
      </c>
    </row>
    <row r="55" spans="1:3" x14ac:dyDescent="0.3">
      <c r="A55" s="29">
        <v>50</v>
      </c>
      <c r="B55" s="30">
        <v>5.0379999999999999E-3</v>
      </c>
      <c r="C55" s="30">
        <v>3.1819999999999999E-3</v>
      </c>
    </row>
    <row r="56" spans="1:3" x14ac:dyDescent="0.3">
      <c r="A56" s="29">
        <v>51</v>
      </c>
      <c r="B56" s="30">
        <v>5.5199999999999997E-3</v>
      </c>
      <c r="C56" s="30">
        <v>3.473E-3</v>
      </c>
    </row>
    <row r="57" spans="1:3" x14ac:dyDescent="0.3">
      <c r="A57" s="29">
        <v>52</v>
      </c>
      <c r="B57" s="30">
        <v>6.0359999999999997E-3</v>
      </c>
      <c r="C57" s="30">
        <v>3.7669999999999999E-3</v>
      </c>
    </row>
    <row r="58" spans="1:3" x14ac:dyDescent="0.3">
      <c r="A58" s="29">
        <v>53</v>
      </c>
      <c r="B58" s="30">
        <v>6.587E-3</v>
      </c>
      <c r="C58" s="30">
        <v>4.058E-3</v>
      </c>
    </row>
    <row r="59" spans="1:3" x14ac:dyDescent="0.3">
      <c r="A59" s="29">
        <v>54</v>
      </c>
      <c r="B59" s="30">
        <v>7.1700000000000002E-3</v>
      </c>
      <c r="C59" s="30">
        <v>4.352E-3</v>
      </c>
    </row>
    <row r="60" spans="1:3" x14ac:dyDescent="0.3">
      <c r="A60" s="25">
        <v>55</v>
      </c>
      <c r="B60" s="27">
        <v>7.8009999999999998E-3</v>
      </c>
      <c r="C60" s="27">
        <v>4.6810000000000003E-3</v>
      </c>
    </row>
    <row r="61" spans="1:3" x14ac:dyDescent="0.3">
      <c r="A61" s="25">
        <v>56</v>
      </c>
      <c r="B61" s="27">
        <v>8.4659999999999996E-3</v>
      </c>
      <c r="C61" s="27">
        <v>5.0400000000000002E-3</v>
      </c>
    </row>
    <row r="62" spans="1:3" x14ac:dyDescent="0.3">
      <c r="A62" s="25">
        <v>57</v>
      </c>
      <c r="B62" s="27">
        <v>9.1330000000000005E-3</v>
      </c>
      <c r="C62" s="27">
        <v>5.4000000000000003E-3</v>
      </c>
    </row>
    <row r="63" spans="1:3" x14ac:dyDescent="0.3">
      <c r="A63" s="25">
        <v>58</v>
      </c>
      <c r="B63" s="27">
        <v>9.7920000000000004E-3</v>
      </c>
      <c r="C63" s="27">
        <v>5.7559999999999998E-3</v>
      </c>
    </row>
    <row r="64" spans="1:3" x14ac:dyDescent="0.3">
      <c r="A64" s="25">
        <v>59</v>
      </c>
      <c r="B64" s="27">
        <v>1.0462000000000001E-2</v>
      </c>
      <c r="C64" s="27">
        <v>6.1279999999999998E-3</v>
      </c>
    </row>
    <row r="65" spans="1:3" x14ac:dyDescent="0.3">
      <c r="A65" s="29">
        <v>60</v>
      </c>
      <c r="B65" s="30">
        <v>1.1197E-2</v>
      </c>
      <c r="C65" s="30">
        <v>6.5449999999999996E-3</v>
      </c>
    </row>
    <row r="66" spans="1:3" x14ac:dyDescent="0.3">
      <c r="A66" s="29">
        <v>61</v>
      </c>
      <c r="B66" s="30">
        <v>1.2009000000000001E-2</v>
      </c>
      <c r="C66" s="30">
        <v>7.0340000000000003E-3</v>
      </c>
    </row>
    <row r="67" spans="1:3" x14ac:dyDescent="0.3">
      <c r="A67" s="29">
        <v>62</v>
      </c>
      <c r="B67" s="30">
        <v>1.2867E-2</v>
      </c>
      <c r="C67" s="30">
        <v>7.607E-3</v>
      </c>
    </row>
    <row r="68" spans="1:3" x14ac:dyDescent="0.3">
      <c r="A68" s="29">
        <v>63</v>
      </c>
      <c r="B68" s="30">
        <v>1.3772E-2</v>
      </c>
      <c r="C68" s="30">
        <v>8.2810000000000002E-3</v>
      </c>
    </row>
    <row r="69" spans="1:3" x14ac:dyDescent="0.3">
      <c r="A69" s="29">
        <v>64</v>
      </c>
      <c r="B69" s="30">
        <v>1.4749E-2</v>
      </c>
      <c r="C69" s="30">
        <v>9.0570000000000008E-3</v>
      </c>
    </row>
    <row r="70" spans="1:3" x14ac:dyDescent="0.3">
      <c r="A70" s="25">
        <v>65</v>
      </c>
      <c r="B70" s="27">
        <v>1.5852000000000002E-2</v>
      </c>
      <c r="C70" s="27">
        <v>9.953E-3</v>
      </c>
    </row>
    <row r="71" spans="1:3" x14ac:dyDescent="0.3">
      <c r="A71" s="25">
        <v>66</v>
      </c>
      <c r="B71" s="27">
        <v>1.7097000000000001E-2</v>
      </c>
      <c r="C71" s="27">
        <v>1.095E-2</v>
      </c>
    </row>
    <row r="72" spans="1:3" x14ac:dyDescent="0.3">
      <c r="A72" s="25">
        <v>67</v>
      </c>
      <c r="B72" s="27">
        <v>1.8463E-2</v>
      </c>
      <c r="C72" s="27">
        <v>1.201E-2</v>
      </c>
    </row>
    <row r="73" spans="1:3" x14ac:dyDescent="0.3">
      <c r="A73" s="25">
        <v>68</v>
      </c>
      <c r="B73" s="27">
        <v>1.9959000000000001E-2</v>
      </c>
      <c r="C73" s="27">
        <v>1.3124E-2</v>
      </c>
    </row>
    <row r="74" spans="1:3" x14ac:dyDescent="0.3">
      <c r="A74" s="25">
        <v>69</v>
      </c>
      <c r="B74" s="27">
        <v>2.1616E-2</v>
      </c>
      <c r="C74" s="27">
        <v>1.4330000000000001E-2</v>
      </c>
    </row>
    <row r="75" spans="1:3" x14ac:dyDescent="0.3">
      <c r="A75" s="29">
        <v>70</v>
      </c>
      <c r="B75" s="30">
        <v>2.3528E-2</v>
      </c>
      <c r="C75" s="30">
        <v>1.5727999999999999E-2</v>
      </c>
    </row>
    <row r="76" spans="1:3" x14ac:dyDescent="0.3">
      <c r="A76" s="29">
        <v>71</v>
      </c>
      <c r="B76" s="30">
        <v>2.5693000000000001E-2</v>
      </c>
      <c r="C76" s="30">
        <v>1.7337999999999999E-2</v>
      </c>
    </row>
    <row r="77" spans="1:3" x14ac:dyDescent="0.3">
      <c r="A77" s="29">
        <v>72</v>
      </c>
      <c r="B77" s="30">
        <v>2.8041E-2</v>
      </c>
      <c r="C77" s="30">
        <v>1.9108E-2</v>
      </c>
    </row>
    <row r="78" spans="1:3" x14ac:dyDescent="0.3">
      <c r="A78" s="29">
        <v>73</v>
      </c>
      <c r="B78" s="30">
        <v>3.0567E-2</v>
      </c>
      <c r="C78" s="30">
        <v>2.1041000000000001E-2</v>
      </c>
    </row>
    <row r="79" spans="1:3" x14ac:dyDescent="0.3">
      <c r="A79" s="29">
        <v>74</v>
      </c>
      <c r="B79" s="30">
        <v>3.3347000000000002E-2</v>
      </c>
      <c r="C79" s="30">
        <v>2.3191E-2</v>
      </c>
    </row>
    <row r="80" spans="1:3" x14ac:dyDescent="0.3">
      <c r="A80" s="25">
        <v>75</v>
      </c>
      <c r="B80" s="27">
        <v>3.6572E-2</v>
      </c>
      <c r="C80" s="27">
        <v>2.5713E-2</v>
      </c>
    </row>
    <row r="81" spans="1:3" x14ac:dyDescent="0.3">
      <c r="A81" s="25">
        <v>76</v>
      </c>
      <c r="B81" s="27">
        <v>4.0275999999999999E-2</v>
      </c>
      <c r="C81" s="27">
        <v>2.8608999999999999E-2</v>
      </c>
    </row>
    <row r="82" spans="1:3" x14ac:dyDescent="0.3">
      <c r="A82" s="25">
        <v>77</v>
      </c>
      <c r="B82" s="27">
        <v>4.4347999999999999E-2</v>
      </c>
      <c r="C82" s="27">
        <v>3.1759999999999997E-2</v>
      </c>
    </row>
    <row r="83" spans="1:3" x14ac:dyDescent="0.3">
      <c r="A83" s="25">
        <v>78</v>
      </c>
      <c r="B83" s="27">
        <v>4.8797E-2</v>
      </c>
      <c r="C83" s="27">
        <v>3.5157000000000001E-2</v>
      </c>
    </row>
    <row r="84" spans="1:3" x14ac:dyDescent="0.3">
      <c r="A84" s="25">
        <v>79</v>
      </c>
      <c r="B84" s="27">
        <v>5.3739000000000002E-2</v>
      </c>
      <c r="C84" s="27">
        <v>3.8920000000000003E-2</v>
      </c>
    </row>
    <row r="85" spans="1:3" x14ac:dyDescent="0.3">
      <c r="A85" s="29">
        <v>80</v>
      </c>
      <c r="B85" s="30">
        <v>5.9402999999999997E-2</v>
      </c>
      <c r="C85" s="30">
        <v>4.3289000000000001E-2</v>
      </c>
    </row>
    <row r="86" spans="1:3" x14ac:dyDescent="0.3">
      <c r="A86" s="29">
        <v>81</v>
      </c>
      <c r="B86" s="30">
        <v>6.5873000000000001E-2</v>
      </c>
      <c r="C86" s="30">
        <v>4.8356000000000003E-2</v>
      </c>
    </row>
    <row r="87" spans="1:3" x14ac:dyDescent="0.3">
      <c r="A87" s="29">
        <v>82</v>
      </c>
      <c r="B87" s="30">
        <v>7.3081999999999994E-2</v>
      </c>
      <c r="C87" s="30">
        <v>5.4040999999999999E-2</v>
      </c>
    </row>
    <row r="88" spans="1:3" x14ac:dyDescent="0.3">
      <c r="A88" s="29">
        <v>83</v>
      </c>
      <c r="B88" s="30">
        <v>8.1070000000000003E-2</v>
      </c>
      <c r="C88" s="30">
        <v>6.0384E-2</v>
      </c>
    </row>
    <row r="89" spans="1:3" x14ac:dyDescent="0.3">
      <c r="A89" s="29">
        <v>84</v>
      </c>
      <c r="B89" s="30">
        <v>8.9946999999999999E-2</v>
      </c>
      <c r="C89" s="30">
        <v>6.7498000000000002E-2</v>
      </c>
    </row>
    <row r="90" spans="1:3" x14ac:dyDescent="0.3">
      <c r="A90" s="25">
        <v>85</v>
      </c>
      <c r="B90" s="27">
        <v>9.9842E-2</v>
      </c>
      <c r="C90" s="27">
        <v>7.5516E-2</v>
      </c>
    </row>
    <row r="91" spans="1:3" x14ac:dyDescent="0.3">
      <c r="A91" s="25">
        <v>86</v>
      </c>
      <c r="B91" s="27">
        <v>0.110863</v>
      </c>
      <c r="C91" s="27">
        <v>8.4556000000000006E-2</v>
      </c>
    </row>
    <row r="92" spans="1:3" x14ac:dyDescent="0.3">
      <c r="A92" s="25">
        <v>87</v>
      </c>
      <c r="B92" s="27">
        <v>0.123088</v>
      </c>
      <c r="C92" s="27">
        <v>9.4702999999999996E-2</v>
      </c>
    </row>
    <row r="93" spans="1:3" x14ac:dyDescent="0.3">
      <c r="A93" s="25">
        <v>88</v>
      </c>
      <c r="B93" s="27">
        <v>0.13656299999999999</v>
      </c>
      <c r="C93" s="27">
        <v>0.106014</v>
      </c>
    </row>
    <row r="94" spans="1:3" x14ac:dyDescent="0.3">
      <c r="A94" s="25">
        <v>89</v>
      </c>
      <c r="B94" s="27">
        <v>0.15129899999999999</v>
      </c>
      <c r="C94" s="27">
        <v>0.11851299999999999</v>
      </c>
    </row>
    <row r="95" spans="1:3" x14ac:dyDescent="0.3">
      <c r="A95" s="29">
        <v>90</v>
      </c>
      <c r="B95" s="30">
        <v>0.167291</v>
      </c>
      <c r="C95" s="30">
        <v>0.13220599999999999</v>
      </c>
    </row>
    <row r="96" spans="1:3" x14ac:dyDescent="0.3">
      <c r="A96" s="29">
        <v>91</v>
      </c>
      <c r="B96" s="30">
        <v>0.18451999999999999</v>
      </c>
      <c r="C96" s="30">
        <v>0.147092</v>
      </c>
    </row>
    <row r="97" spans="1:3" x14ac:dyDescent="0.3">
      <c r="A97" s="29">
        <v>92</v>
      </c>
      <c r="B97" s="30">
        <v>0.202954</v>
      </c>
      <c r="C97" s="30">
        <v>0.16315399999999999</v>
      </c>
    </row>
    <row r="98" spans="1:3" x14ac:dyDescent="0.3">
      <c r="A98" s="29">
        <v>93</v>
      </c>
      <c r="B98" s="30">
        <v>0.222555</v>
      </c>
      <c r="C98" s="30">
        <v>0.180371</v>
      </c>
    </row>
    <row r="99" spans="1:3" x14ac:dyDescent="0.3">
      <c r="A99" s="29">
        <v>94</v>
      </c>
      <c r="B99" s="30">
        <v>0.24327199999999999</v>
      </c>
      <c r="C99" s="30">
        <v>0.198714</v>
      </c>
    </row>
    <row r="100" spans="1:3" x14ac:dyDescent="0.3">
      <c r="A100" s="25">
        <v>95</v>
      </c>
      <c r="B100" s="27">
        <v>0.26382100000000003</v>
      </c>
      <c r="C100" s="27">
        <v>0.21726400000000001</v>
      </c>
    </row>
    <row r="101" spans="1:3" x14ac:dyDescent="0.3">
      <c r="A101" s="25">
        <v>96</v>
      </c>
      <c r="B101" s="27">
        <v>0.283833</v>
      </c>
      <c r="C101" s="27">
        <v>0.235735</v>
      </c>
    </row>
    <row r="102" spans="1:3" x14ac:dyDescent="0.3">
      <c r="A102" s="25">
        <v>97</v>
      </c>
      <c r="B102" s="27">
        <v>0.30291600000000002</v>
      </c>
      <c r="C102" s="27">
        <v>0.25380999999999998</v>
      </c>
    </row>
    <row r="103" spans="1:3" x14ac:dyDescent="0.3">
      <c r="A103" s="25">
        <v>98</v>
      </c>
      <c r="B103" s="27">
        <v>0.32067200000000001</v>
      </c>
      <c r="C103" s="27">
        <v>0.27115499999999998</v>
      </c>
    </row>
    <row r="104" spans="1:3" x14ac:dyDescent="0.3">
      <c r="A104" s="25">
        <v>99</v>
      </c>
      <c r="B104" s="27">
        <v>0.33670600000000001</v>
      </c>
      <c r="C104" s="27">
        <v>0.28742400000000001</v>
      </c>
    </row>
    <row r="105" spans="1:3" x14ac:dyDescent="0.3">
      <c r="A105" s="29">
        <v>100</v>
      </c>
      <c r="B105" s="30">
        <v>0.35354099999999999</v>
      </c>
      <c r="C105" s="30">
        <v>0.30467</v>
      </c>
    </row>
    <row r="106" spans="1:3" x14ac:dyDescent="0.3">
      <c r="A106" s="29">
        <v>101</v>
      </c>
      <c r="B106" s="30">
        <v>0.37121799999999999</v>
      </c>
      <c r="C106" s="30">
        <v>0.32295000000000001</v>
      </c>
    </row>
    <row r="107" spans="1:3" x14ac:dyDescent="0.3">
      <c r="A107" s="29">
        <v>102</v>
      </c>
      <c r="B107" s="30">
        <v>0.38977899999999999</v>
      </c>
      <c r="C107" s="30">
        <v>0.34232699999999999</v>
      </c>
    </row>
    <row r="108" spans="1:3" x14ac:dyDescent="0.3">
      <c r="A108" s="29">
        <v>103</v>
      </c>
      <c r="B108" s="30">
        <v>0.40926800000000002</v>
      </c>
      <c r="C108" s="30">
        <v>0.362867</v>
      </c>
    </row>
    <row r="109" spans="1:3" x14ac:dyDescent="0.3">
      <c r="A109" s="29">
        <v>104</v>
      </c>
      <c r="B109" s="30">
        <v>0.429732</v>
      </c>
      <c r="C109" s="30">
        <v>0.38463900000000001</v>
      </c>
    </row>
    <row r="110" spans="1:3" x14ac:dyDescent="0.3">
      <c r="A110" s="25">
        <v>105</v>
      </c>
      <c r="B110" s="27">
        <v>0.45121800000000001</v>
      </c>
      <c r="C110" s="27">
        <v>0.407717</v>
      </c>
    </row>
    <row r="111" spans="1:3" x14ac:dyDescent="0.3">
      <c r="A111" s="25">
        <v>106</v>
      </c>
      <c r="B111" s="27">
        <v>0.47377900000000001</v>
      </c>
      <c r="C111" s="27">
        <v>0.43218000000000001</v>
      </c>
    </row>
    <row r="112" spans="1:3" x14ac:dyDescent="0.3">
      <c r="A112" s="25">
        <v>107</v>
      </c>
      <c r="B112" s="27">
        <v>0.49746800000000002</v>
      </c>
      <c r="C112" s="27">
        <v>0.45811099999999999</v>
      </c>
    </row>
    <row r="113" spans="1:3" x14ac:dyDescent="0.3">
      <c r="A113" s="25">
        <v>108</v>
      </c>
      <c r="B113" s="27">
        <v>0.52234100000000006</v>
      </c>
      <c r="C113" s="27">
        <v>0.485597</v>
      </c>
    </row>
    <row r="114" spans="1:3" x14ac:dyDescent="0.3">
      <c r="A114" s="25">
        <v>109</v>
      </c>
      <c r="B114" s="27">
        <v>0.548458</v>
      </c>
      <c r="C114" s="27">
        <v>0.514733</v>
      </c>
    </row>
    <row r="115" spans="1:3" x14ac:dyDescent="0.3">
      <c r="A115" s="29">
        <v>110</v>
      </c>
      <c r="B115" s="30">
        <v>0.57588099999999998</v>
      </c>
      <c r="C115" s="30">
        <v>0.54561700000000002</v>
      </c>
    </row>
    <row r="116" spans="1:3" x14ac:dyDescent="0.3">
      <c r="A116" s="29">
        <v>111</v>
      </c>
      <c r="B116" s="30">
        <v>0.60467499999999996</v>
      </c>
      <c r="C116" s="30">
        <v>0.57835400000000003</v>
      </c>
    </row>
    <row r="117" spans="1:3" x14ac:dyDescent="0.3">
      <c r="A117" s="29">
        <v>112</v>
      </c>
      <c r="B117" s="30">
        <v>0.63490899999999995</v>
      </c>
      <c r="C117" s="30">
        <v>0.61305500000000002</v>
      </c>
    </row>
    <row r="118" spans="1:3" x14ac:dyDescent="0.3">
      <c r="A118" s="29">
        <v>113</v>
      </c>
      <c r="B118" s="30">
        <v>0.666655</v>
      </c>
      <c r="C118" s="30">
        <v>0.64983900000000006</v>
      </c>
    </row>
    <row r="119" spans="1:3" x14ac:dyDescent="0.3">
      <c r="A119" s="29">
        <v>114</v>
      </c>
      <c r="B119" s="30">
        <v>0.69998700000000003</v>
      </c>
      <c r="C119" s="30">
        <v>0.68882900000000002</v>
      </c>
    </row>
    <row r="120" spans="1:3" x14ac:dyDescent="0.3">
      <c r="A120" s="25">
        <v>115</v>
      </c>
      <c r="B120" s="27">
        <v>0.73498699999999995</v>
      </c>
      <c r="C120" s="27">
        <v>0.730159</v>
      </c>
    </row>
    <row r="121" spans="1:3" x14ac:dyDescent="0.3">
      <c r="A121" s="25">
        <v>116</v>
      </c>
      <c r="B121" s="27">
        <v>0.77173599999999998</v>
      </c>
      <c r="C121" s="27">
        <v>0.77173599999999998</v>
      </c>
    </row>
    <row r="122" spans="1:3" x14ac:dyDescent="0.3">
      <c r="A122" s="25">
        <v>117</v>
      </c>
      <c r="B122" s="27">
        <v>0.81032300000000002</v>
      </c>
      <c r="C122" s="27">
        <v>0.81032300000000002</v>
      </c>
    </row>
    <row r="123" spans="1:3" x14ac:dyDescent="0.3">
      <c r="A123" s="25">
        <v>118</v>
      </c>
      <c r="B123" s="27">
        <v>0.85083900000000001</v>
      </c>
      <c r="C123" s="27">
        <v>0.85083900000000001</v>
      </c>
    </row>
    <row r="124" spans="1:3" x14ac:dyDescent="0.3">
      <c r="A124" s="25">
        <v>119</v>
      </c>
      <c r="B124" s="27">
        <v>0.89338099999999998</v>
      </c>
      <c r="C124" s="27">
        <v>0.89338099999999998</v>
      </c>
    </row>
  </sheetData>
  <hyperlinks>
    <hyperlink ref="E2" r:id="rId1" xr:uid="{9FF6871A-D945-488E-946E-91C1875FEE5C}"/>
  </hyperlinks>
  <pageMargins left="0.7" right="0.7" top="0.75" bottom="0.75" header="0.3" footer="0.3"/>
  <pageSetup scale="79" orientation="portrait" horizontalDpi="4294967293" verticalDpi="4294967293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Flat benefit</vt:lpstr>
      <vt:lpstr>Task 3 - Summary</vt:lpstr>
      <vt:lpstr>Task 3 - Flat</vt:lpstr>
      <vt:lpstr>Task 3 - %</vt:lpstr>
      <vt:lpstr>Mortality Table</vt:lpstr>
      <vt:lpstr>'Mortality Table'!Print_Area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</dc:creator>
  <cp:lastModifiedBy>Quang Monkey.D</cp:lastModifiedBy>
  <cp:lastPrinted>2016-11-25T07:36:45Z</cp:lastPrinted>
  <dcterms:created xsi:type="dcterms:W3CDTF">2016-11-23T15:02:51Z</dcterms:created>
  <dcterms:modified xsi:type="dcterms:W3CDTF">2026-04-11T12:10:30Z</dcterms:modified>
</cp:coreProperties>
</file>